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Свинцов Е\"/>
    </mc:Choice>
  </mc:AlternateContent>
  <xr:revisionPtr revIDLastSave="0" documentId="8_{D8CF917B-5E2E-4694-81FE-2DA7D4BDBE08}" xr6:coauthVersionLast="47" xr6:coauthVersionMax="47" xr10:uidLastSave="{00000000-0000-0000-0000-000000000000}"/>
  <bookViews>
    <workbookView xWindow="-120" yWindow="-120" windowWidth="29040" windowHeight="15840" tabRatio="846" xr2:uid="{00000000-000D-0000-FFFF-FFFF00000000}"/>
  </bookViews>
  <sheets>
    <sheet name="Табели" sheetId="1" r:id="rId1"/>
    <sheet name="История" sheetId="2" r:id="rId2"/>
    <sheet name="Ин.яз" sheetId="3" r:id="rId3"/>
    <sheet name="ПиРИП" sheetId="4" r:id="rId4"/>
    <sheet name="Физ.ра" sheetId="5" r:id="rId5"/>
    <sheet name="Элемент выш мат" sheetId="6" r:id="rId6"/>
    <sheet name="арх.ап.средств" sheetId="7" r:id="rId7"/>
    <sheet name="Опер.систем-среды" sheetId="8" r:id="rId8"/>
    <sheet name="Основы алгоритмизации" sheetId="9" r:id="rId9"/>
    <sheet name="Осн.пр.Базы данных" sheetId="10" r:id="rId10"/>
    <sheet name="Числ метод" sheetId="11" r:id="rId11"/>
    <sheet name="Комп сеть" sheetId="12" r:id="rId12"/>
    <sheet name="Теор.вероят и мат.стат" sheetId="13" r:id="rId13"/>
    <sheet name="Дискрет.мат " sheetId="14" r:id="rId14"/>
    <sheet name="Внедр.подд.комп.систем" sheetId="15" r:id="rId15"/>
    <sheet name="Разработка кода ИС" sheetId="16" r:id="rId16"/>
    <sheet name="Псих.общ" sheetId="17" r:id="rId17"/>
    <sheet name="Тех.разра.БД" sheetId="18" r:id="rId18"/>
    <sheet name="Проектирование и дизайн ИС" sheetId="19" r:id="rId19"/>
    <sheet name="Осн.фин.грам.и предприн." sheetId="20" r:id="rId20"/>
    <sheet name="БЖ" sheetId="21" r:id="rId21"/>
    <sheet name="Обе.без.веб-прил." sheetId="22" r:id="rId22"/>
    <sheet name="Оптими.веб-прил." sheetId="23" r:id="rId23"/>
    <sheet name="Тестирование ИС" sheetId="24" r:id="rId24"/>
    <sheet name="Граф диз и мульт" sheetId="25" r:id="rId25"/>
    <sheet name="Проект. и разр. веб-прил. " sheetId="26" r:id="rId26"/>
    <sheet name="Н-ки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91" i="1" l="1"/>
  <c r="E691" i="1"/>
  <c r="D691" i="1"/>
  <c r="C691" i="1"/>
  <c r="F663" i="1"/>
  <c r="E663" i="1"/>
  <c r="D663" i="1"/>
  <c r="C663" i="1"/>
  <c r="F608" i="1"/>
  <c r="E608" i="1"/>
  <c r="D608" i="1"/>
  <c r="C608" i="1"/>
  <c r="F580" i="1"/>
  <c r="E580" i="1"/>
  <c r="D580" i="1"/>
  <c r="C580" i="1"/>
  <c r="F552" i="1"/>
  <c r="E552" i="1"/>
  <c r="D552" i="1"/>
  <c r="C552" i="1"/>
  <c r="F524" i="1"/>
  <c r="E524" i="1"/>
  <c r="D524" i="1"/>
  <c r="C524" i="1"/>
  <c r="F496" i="1"/>
  <c r="E496" i="1"/>
  <c r="D496" i="1"/>
  <c r="C496" i="1"/>
  <c r="F468" i="1"/>
  <c r="E468" i="1"/>
  <c r="D468" i="1"/>
  <c r="C468" i="1"/>
  <c r="F440" i="1"/>
  <c r="E440" i="1"/>
  <c r="D440" i="1"/>
  <c r="C440" i="1"/>
  <c r="F412" i="1"/>
  <c r="E412" i="1"/>
  <c r="D412" i="1"/>
  <c r="C412" i="1"/>
  <c r="F384" i="1"/>
  <c r="E384" i="1"/>
  <c r="D384" i="1"/>
  <c r="C384" i="1"/>
  <c r="F356" i="1"/>
  <c r="E356" i="1"/>
  <c r="D356" i="1"/>
  <c r="C356" i="1"/>
  <c r="F328" i="1"/>
  <c r="E328" i="1"/>
  <c r="D328" i="1"/>
  <c r="C328" i="1"/>
  <c r="F300" i="1"/>
  <c r="E300" i="1"/>
  <c r="D300" i="1"/>
  <c r="C300" i="1"/>
  <c r="F272" i="1"/>
  <c r="E272" i="1"/>
  <c r="D272" i="1"/>
  <c r="C272" i="1"/>
  <c r="C244" i="1"/>
  <c r="F244" i="1"/>
  <c r="E244" i="1"/>
  <c r="D244" i="1"/>
  <c r="F216" i="1"/>
  <c r="E216" i="1"/>
  <c r="D216" i="1"/>
  <c r="C216" i="1"/>
  <c r="F188" i="1"/>
  <c r="E188" i="1"/>
  <c r="D188" i="1"/>
  <c r="C188" i="1"/>
  <c r="F160" i="1"/>
  <c r="E160" i="1"/>
  <c r="D160" i="1"/>
  <c r="C160" i="1"/>
  <c r="F108" i="1"/>
  <c r="E108" i="1"/>
  <c r="D108" i="1"/>
  <c r="C108" i="1"/>
  <c r="F80" i="1"/>
  <c r="E80" i="1"/>
  <c r="D80" i="1"/>
  <c r="C80" i="1"/>
  <c r="C52" i="1"/>
  <c r="F52" i="1"/>
  <c r="E52" i="1"/>
  <c r="D52" i="1"/>
  <c r="F24" i="1"/>
  <c r="E24" i="1"/>
  <c r="D24" i="1"/>
  <c r="C24" i="1"/>
  <c r="D53" i="1"/>
  <c r="E53" i="1"/>
  <c r="F53" i="1"/>
  <c r="E50" i="1"/>
  <c r="E51" i="1"/>
  <c r="AC28" i="26"/>
  <c r="AB28" i="26"/>
  <c r="AA28" i="26"/>
  <c r="AC27" i="26"/>
  <c r="AB27" i="26"/>
  <c r="AA27" i="26"/>
  <c r="AC26" i="26"/>
  <c r="AB26" i="26"/>
  <c r="AA26" i="26"/>
  <c r="AC25" i="26"/>
  <c r="AB25" i="26"/>
  <c r="AA25" i="26"/>
  <c r="AC24" i="26"/>
  <c r="AB24" i="26"/>
  <c r="AA24" i="26"/>
  <c r="AC23" i="26"/>
  <c r="AB23" i="26"/>
  <c r="AA23" i="26"/>
  <c r="AC22" i="26"/>
  <c r="AB22" i="26"/>
  <c r="AA22" i="26"/>
  <c r="AC21" i="26"/>
  <c r="AB21" i="26"/>
  <c r="AA21" i="26"/>
  <c r="AC20" i="26"/>
  <c r="AB20" i="26"/>
  <c r="AA20" i="26"/>
  <c r="AC19" i="26"/>
  <c r="AB19" i="26"/>
  <c r="AA19" i="26"/>
  <c r="AC18" i="26"/>
  <c r="AB18" i="26"/>
  <c r="AA18" i="26"/>
  <c r="AC17" i="26"/>
  <c r="AB17" i="26"/>
  <c r="AA17" i="26"/>
  <c r="AC16" i="26"/>
  <c r="AB16" i="26"/>
  <c r="AA16" i="26"/>
  <c r="AC15" i="26"/>
  <c r="AB15" i="26"/>
  <c r="AA15" i="26"/>
  <c r="AC14" i="26"/>
  <c r="AB14" i="26"/>
  <c r="AA14" i="26"/>
  <c r="AC13" i="26"/>
  <c r="AB13" i="26"/>
  <c r="AA13" i="26"/>
  <c r="AC12" i="26"/>
  <c r="AB12" i="26"/>
  <c r="AA12" i="26"/>
  <c r="AC11" i="26"/>
  <c r="AB11" i="26"/>
  <c r="AA11" i="26"/>
  <c r="AC10" i="26"/>
  <c r="AB10" i="26"/>
  <c r="AA10" i="26"/>
  <c r="AC9" i="26"/>
  <c r="AB9" i="26"/>
  <c r="AA9" i="26"/>
  <c r="AC8" i="26"/>
  <c r="AB8" i="26"/>
  <c r="AA8" i="26"/>
  <c r="AC7" i="26"/>
  <c r="AB7" i="26"/>
  <c r="AA7" i="26"/>
  <c r="AC6" i="26"/>
  <c r="AB6" i="26"/>
  <c r="AA6" i="26"/>
  <c r="AC5" i="26"/>
  <c r="AB5" i="26"/>
  <c r="AB29" i="26" s="1"/>
  <c r="AA5" i="26"/>
  <c r="AA29" i="26" s="1"/>
  <c r="AC28" i="25"/>
  <c r="AB28" i="25"/>
  <c r="AA28" i="25"/>
  <c r="AC27" i="25"/>
  <c r="AB27" i="25"/>
  <c r="AA27" i="25"/>
  <c r="AC26" i="25"/>
  <c r="AB26" i="25"/>
  <c r="AA26" i="25"/>
  <c r="AC25" i="25"/>
  <c r="AB25" i="25"/>
  <c r="AA25" i="25"/>
  <c r="AC24" i="25"/>
  <c r="AB24" i="25"/>
  <c r="AA24" i="25"/>
  <c r="AC23" i="25"/>
  <c r="AB23" i="25"/>
  <c r="AA23" i="25"/>
  <c r="AC22" i="25"/>
  <c r="AB22" i="25"/>
  <c r="AA22" i="25"/>
  <c r="AC21" i="25"/>
  <c r="AB21" i="25"/>
  <c r="AA21" i="25"/>
  <c r="AC20" i="25"/>
  <c r="AB20" i="25"/>
  <c r="AA20" i="25"/>
  <c r="AC19" i="25"/>
  <c r="AB19" i="25"/>
  <c r="AA19" i="25"/>
  <c r="AC18" i="25"/>
  <c r="AB18" i="25"/>
  <c r="AA18" i="25"/>
  <c r="AC17" i="25"/>
  <c r="AB17" i="25"/>
  <c r="AA17" i="25"/>
  <c r="AC16" i="25"/>
  <c r="AB16" i="25"/>
  <c r="AA16" i="25"/>
  <c r="AC15" i="25"/>
  <c r="AB15" i="25"/>
  <c r="AA15" i="25"/>
  <c r="AC14" i="25"/>
  <c r="AB14" i="25"/>
  <c r="AA14" i="25"/>
  <c r="AC13" i="25"/>
  <c r="AB13" i="25"/>
  <c r="AA13" i="25"/>
  <c r="AC12" i="25"/>
  <c r="AB12" i="25"/>
  <c r="AA12" i="25"/>
  <c r="AC11" i="25"/>
  <c r="AB11" i="25"/>
  <c r="AA11" i="25"/>
  <c r="AC10" i="25"/>
  <c r="AB10" i="25"/>
  <c r="AA10" i="25"/>
  <c r="AC9" i="25"/>
  <c r="AB9" i="25"/>
  <c r="AA9" i="25"/>
  <c r="AC8" i="25"/>
  <c r="AB8" i="25"/>
  <c r="AA8" i="25"/>
  <c r="AC7" i="25"/>
  <c r="AB7" i="25"/>
  <c r="AA7" i="25"/>
  <c r="AC6" i="25"/>
  <c r="AB6" i="25"/>
  <c r="AA6" i="25"/>
  <c r="AC5" i="25"/>
  <c r="AC29" i="25" s="1"/>
  <c r="AB5" i="25"/>
  <c r="AB29" i="25" s="1"/>
  <c r="AA5" i="25"/>
  <c r="CC28" i="24"/>
  <c r="CB28" i="24"/>
  <c r="CA28" i="24"/>
  <c r="D687" i="1" s="1"/>
  <c r="CC27" i="24"/>
  <c r="CB27" i="24"/>
  <c r="CA27" i="24"/>
  <c r="CC26" i="24"/>
  <c r="CB26" i="24"/>
  <c r="CA26" i="24"/>
  <c r="CC25" i="24"/>
  <c r="CB25" i="24"/>
  <c r="CA25" i="24"/>
  <c r="CC24" i="24"/>
  <c r="CB24" i="24"/>
  <c r="E576" i="1" s="1"/>
  <c r="CA24" i="24"/>
  <c r="CC23" i="24"/>
  <c r="CB23" i="24"/>
  <c r="CA23" i="24"/>
  <c r="CC22" i="24"/>
  <c r="F520" i="1" s="1"/>
  <c r="CB22" i="24"/>
  <c r="CA22" i="24"/>
  <c r="CC21" i="24"/>
  <c r="F492" i="1" s="1"/>
  <c r="CB21" i="24"/>
  <c r="CA21" i="24"/>
  <c r="CC20" i="24"/>
  <c r="CB20" i="24"/>
  <c r="CA20" i="24"/>
  <c r="D464" i="1" s="1"/>
  <c r="CC19" i="24"/>
  <c r="CB19" i="24"/>
  <c r="CA19" i="24"/>
  <c r="CC18" i="24"/>
  <c r="CB18" i="24"/>
  <c r="CA18" i="24"/>
  <c r="CC17" i="24"/>
  <c r="CB17" i="24"/>
  <c r="CA17" i="24"/>
  <c r="CC16" i="24"/>
  <c r="CB16" i="24"/>
  <c r="E352" i="1" s="1"/>
  <c r="CA16" i="24"/>
  <c r="CC15" i="24"/>
  <c r="CB15" i="24"/>
  <c r="CA15" i="24"/>
  <c r="CC14" i="24"/>
  <c r="F296" i="1" s="1"/>
  <c r="CB14" i="24"/>
  <c r="CA14" i="24"/>
  <c r="CC13" i="24"/>
  <c r="F268" i="1" s="1"/>
  <c r="CB13" i="24"/>
  <c r="CA13" i="24"/>
  <c r="CC12" i="24"/>
  <c r="CB12" i="24"/>
  <c r="CA12" i="24"/>
  <c r="D240" i="1" s="1"/>
  <c r="CC11" i="24"/>
  <c r="CB11" i="24"/>
  <c r="CA11" i="24"/>
  <c r="D212" i="1" s="1"/>
  <c r="CC10" i="24"/>
  <c r="CB10" i="24"/>
  <c r="CA10" i="24"/>
  <c r="CC9" i="24"/>
  <c r="CB9" i="24"/>
  <c r="CA9" i="24"/>
  <c r="CC8" i="24"/>
  <c r="CB8" i="24"/>
  <c r="E104" i="1" s="1"/>
  <c r="CA8" i="24"/>
  <c r="CC7" i="24"/>
  <c r="CB7" i="24"/>
  <c r="CA7" i="24"/>
  <c r="CC6" i="24"/>
  <c r="CB6" i="24"/>
  <c r="CA6" i="24"/>
  <c r="CC5" i="24"/>
  <c r="F20" i="1" s="1"/>
  <c r="CB5" i="24"/>
  <c r="CA5" i="24"/>
  <c r="K34" i="23"/>
  <c r="I33" i="23"/>
  <c r="I34" i="23" s="1"/>
  <c r="L34" i="23" s="1"/>
  <c r="G33" i="23"/>
  <c r="F33" i="23"/>
  <c r="K33" i="23" s="1"/>
  <c r="AB28" i="23"/>
  <c r="AA28" i="23"/>
  <c r="Z28" i="23"/>
  <c r="AB27" i="23"/>
  <c r="AA27" i="23"/>
  <c r="Z27" i="23"/>
  <c r="AB26" i="23"/>
  <c r="AA26" i="23"/>
  <c r="Z26" i="23"/>
  <c r="AB25" i="23"/>
  <c r="AA25" i="23"/>
  <c r="Z25" i="23"/>
  <c r="AB24" i="23"/>
  <c r="AA24" i="23"/>
  <c r="Z24" i="23"/>
  <c r="AB23" i="23"/>
  <c r="AA23" i="23"/>
  <c r="Z23" i="23"/>
  <c r="AB22" i="23"/>
  <c r="AA22" i="23"/>
  <c r="Z22" i="23"/>
  <c r="AB21" i="23"/>
  <c r="AA21" i="23"/>
  <c r="Z21" i="23"/>
  <c r="AB20" i="23"/>
  <c r="AA20" i="23"/>
  <c r="Z20" i="23"/>
  <c r="AB19" i="23"/>
  <c r="AA19" i="23"/>
  <c r="Z19" i="23"/>
  <c r="AB18" i="23"/>
  <c r="AA18" i="23"/>
  <c r="Z18" i="23"/>
  <c r="AB17" i="23"/>
  <c r="AA17" i="23"/>
  <c r="Z17" i="23"/>
  <c r="AB16" i="23"/>
  <c r="AA16" i="23"/>
  <c r="Z16" i="23"/>
  <c r="AB15" i="23"/>
  <c r="AA15" i="23"/>
  <c r="Z15" i="23"/>
  <c r="AB14" i="23"/>
  <c r="AA14" i="23"/>
  <c r="Z14" i="23"/>
  <c r="AB13" i="23"/>
  <c r="AA13" i="23"/>
  <c r="Z13" i="23"/>
  <c r="AB12" i="23"/>
  <c r="AA12" i="23"/>
  <c r="Z12" i="23"/>
  <c r="AB11" i="23"/>
  <c r="AA11" i="23"/>
  <c r="Z11" i="23"/>
  <c r="AB10" i="23"/>
  <c r="AA10" i="23"/>
  <c r="Z10" i="23"/>
  <c r="AB9" i="23"/>
  <c r="AA9" i="23"/>
  <c r="Z9" i="23"/>
  <c r="AB8" i="23"/>
  <c r="AA8" i="23"/>
  <c r="Z8" i="23"/>
  <c r="AB7" i="23"/>
  <c r="AA7" i="23"/>
  <c r="Z7" i="23"/>
  <c r="AB6" i="23"/>
  <c r="AA6" i="23"/>
  <c r="Z6" i="23"/>
  <c r="AB5" i="23"/>
  <c r="AA5" i="23"/>
  <c r="Z5" i="23"/>
  <c r="Z30" i="23" s="1"/>
  <c r="K33" i="22"/>
  <c r="N33" i="22" s="1"/>
  <c r="K32" i="22"/>
  <c r="N32" i="22" s="1"/>
  <c r="J32" i="22"/>
  <c r="H32" i="22"/>
  <c r="G32" i="22"/>
  <c r="AC28" i="22"/>
  <c r="AB28" i="22"/>
  <c r="AA28" i="22"/>
  <c r="AC27" i="22"/>
  <c r="AB27" i="22"/>
  <c r="AA27" i="22"/>
  <c r="AC26" i="22"/>
  <c r="AB26" i="22"/>
  <c r="AA26" i="22"/>
  <c r="AC25" i="22"/>
  <c r="AB25" i="22"/>
  <c r="AA25" i="22"/>
  <c r="AC24" i="22"/>
  <c r="AB24" i="22"/>
  <c r="AA24" i="22"/>
  <c r="AC23" i="22"/>
  <c r="AB23" i="22"/>
  <c r="AA23" i="22"/>
  <c r="AC22" i="22"/>
  <c r="AB22" i="22"/>
  <c r="AA22" i="22"/>
  <c r="AC21" i="22"/>
  <c r="AB21" i="22"/>
  <c r="AA21" i="22"/>
  <c r="AC20" i="22"/>
  <c r="AB20" i="22"/>
  <c r="AA20" i="22"/>
  <c r="AC19" i="22"/>
  <c r="AB19" i="22"/>
  <c r="AA19" i="22"/>
  <c r="AC18" i="22"/>
  <c r="AB18" i="22"/>
  <c r="AA18" i="22"/>
  <c r="AC17" i="22"/>
  <c r="AB17" i="22"/>
  <c r="AA17" i="22"/>
  <c r="AC16" i="22"/>
  <c r="AB16" i="22"/>
  <c r="AA16" i="22"/>
  <c r="AC15" i="22"/>
  <c r="AB15" i="22"/>
  <c r="AA15" i="22"/>
  <c r="AC14" i="22"/>
  <c r="AB14" i="22"/>
  <c r="AA14" i="22"/>
  <c r="AC13" i="22"/>
  <c r="AB13" i="22"/>
  <c r="AA13" i="22"/>
  <c r="AC12" i="22"/>
  <c r="AB12" i="22"/>
  <c r="AA12" i="22"/>
  <c r="AC11" i="22"/>
  <c r="AB11" i="22"/>
  <c r="AA11" i="22"/>
  <c r="AC10" i="22"/>
  <c r="AB10" i="22"/>
  <c r="AA10" i="22"/>
  <c r="AC9" i="22"/>
  <c r="AB9" i="22"/>
  <c r="AA9" i="22"/>
  <c r="AC8" i="22"/>
  <c r="AB8" i="22"/>
  <c r="AA8" i="22"/>
  <c r="AC7" i="22"/>
  <c r="AB7" i="22"/>
  <c r="AA7" i="22"/>
  <c r="AC6" i="22"/>
  <c r="AB6" i="22"/>
  <c r="AA6" i="22"/>
  <c r="AC5" i="22"/>
  <c r="AC29" i="22" s="1"/>
  <c r="AB5" i="22"/>
  <c r="AA5" i="22"/>
  <c r="AC28" i="21"/>
  <c r="AB28" i="21"/>
  <c r="AA28" i="21"/>
  <c r="D690" i="1" s="1"/>
  <c r="AC27" i="21"/>
  <c r="AB27" i="21"/>
  <c r="AA27" i="21"/>
  <c r="AC26" i="21"/>
  <c r="AB26" i="21"/>
  <c r="E635" i="1" s="1"/>
  <c r="AA26" i="21"/>
  <c r="AC25" i="21"/>
  <c r="AB25" i="21"/>
  <c r="E607" i="1" s="1"/>
  <c r="AA25" i="21"/>
  <c r="AC24" i="21"/>
  <c r="AB24" i="21"/>
  <c r="AA24" i="21"/>
  <c r="AC23" i="21"/>
  <c r="F551" i="1" s="1"/>
  <c r="AB23" i="21"/>
  <c r="AA23" i="21"/>
  <c r="AC22" i="21"/>
  <c r="AB22" i="21"/>
  <c r="AA22" i="21"/>
  <c r="AC21" i="21"/>
  <c r="AB21" i="21"/>
  <c r="AA21" i="21"/>
  <c r="D495" i="1" s="1"/>
  <c r="AC20" i="21"/>
  <c r="AB20" i="21"/>
  <c r="AA20" i="21"/>
  <c r="D467" i="1" s="1"/>
  <c r="AC19" i="21"/>
  <c r="AB19" i="21"/>
  <c r="AA19" i="21"/>
  <c r="AC18" i="21"/>
  <c r="AB18" i="21"/>
  <c r="E411" i="1" s="1"/>
  <c r="AA18" i="21"/>
  <c r="AC17" i="21"/>
  <c r="AB17" i="21"/>
  <c r="E383" i="1" s="1"/>
  <c r="AA17" i="21"/>
  <c r="AC16" i="21"/>
  <c r="AB16" i="21"/>
  <c r="AA16" i="21"/>
  <c r="AC15" i="21"/>
  <c r="F327" i="1" s="1"/>
  <c r="AB15" i="21"/>
  <c r="AA15" i="21"/>
  <c r="AC14" i="21"/>
  <c r="AB14" i="21"/>
  <c r="AA14" i="21"/>
  <c r="AC13" i="21"/>
  <c r="AB13" i="21"/>
  <c r="AA13" i="21"/>
  <c r="AA29" i="21" s="1"/>
  <c r="AC12" i="21"/>
  <c r="AB12" i="21"/>
  <c r="AA12" i="21"/>
  <c r="D243" i="1" s="1"/>
  <c r="AC11" i="21"/>
  <c r="AB11" i="21"/>
  <c r="AA11" i="21"/>
  <c r="AC10" i="21"/>
  <c r="AB10" i="21"/>
  <c r="E187" i="1" s="1"/>
  <c r="AA10" i="21"/>
  <c r="AC9" i="21"/>
  <c r="AB9" i="21"/>
  <c r="AA9" i="21"/>
  <c r="AC8" i="21"/>
  <c r="AB8" i="21"/>
  <c r="AA8" i="21"/>
  <c r="AC7" i="21"/>
  <c r="AB7" i="21"/>
  <c r="AA7" i="21"/>
  <c r="AC6" i="21"/>
  <c r="AB6" i="21"/>
  <c r="AA6" i="21"/>
  <c r="AC5" i="21"/>
  <c r="AB5" i="21"/>
  <c r="AA5" i="21"/>
  <c r="AD28" i="20"/>
  <c r="AC28" i="20"/>
  <c r="AB28" i="20"/>
  <c r="AD27" i="20"/>
  <c r="AC27" i="20"/>
  <c r="AB27" i="20"/>
  <c r="AD26" i="20"/>
  <c r="AC26" i="20"/>
  <c r="AB26" i="20"/>
  <c r="AD25" i="20"/>
  <c r="AC25" i="20"/>
  <c r="AB25" i="20"/>
  <c r="AD24" i="20"/>
  <c r="AC24" i="20"/>
  <c r="AB24" i="20"/>
  <c r="AD23" i="20"/>
  <c r="AC23" i="20"/>
  <c r="AB23" i="20"/>
  <c r="AD22" i="20"/>
  <c r="AC22" i="20"/>
  <c r="AB22" i="20"/>
  <c r="AD21" i="20"/>
  <c r="AC21" i="20"/>
  <c r="AB21" i="20"/>
  <c r="AD20" i="20"/>
  <c r="AC20" i="20"/>
  <c r="AB20" i="20"/>
  <c r="AD19" i="20"/>
  <c r="AC19" i="20"/>
  <c r="AB19" i="20"/>
  <c r="AD18" i="20"/>
  <c r="AC18" i="20"/>
  <c r="AB18" i="20"/>
  <c r="AD17" i="20"/>
  <c r="AC17" i="20"/>
  <c r="AB17" i="20"/>
  <c r="AD16" i="20"/>
  <c r="AC16" i="20"/>
  <c r="AB16" i="20"/>
  <c r="AD15" i="20"/>
  <c r="AC15" i="20"/>
  <c r="AB15" i="20"/>
  <c r="AD14" i="20"/>
  <c r="AC14" i="20"/>
  <c r="AB14" i="20"/>
  <c r="AD13" i="20"/>
  <c r="AC13" i="20"/>
  <c r="AB13" i="20"/>
  <c r="AB29" i="20" s="1"/>
  <c r="AD12" i="20"/>
  <c r="AC12" i="20"/>
  <c r="AB12" i="20"/>
  <c r="AD11" i="20"/>
  <c r="AC11" i="20"/>
  <c r="AB11" i="20"/>
  <c r="AD10" i="20"/>
  <c r="AC10" i="20"/>
  <c r="AB10" i="20"/>
  <c r="AD9" i="20"/>
  <c r="AC9" i="20"/>
  <c r="AB9" i="20"/>
  <c r="AD8" i="20"/>
  <c r="AC8" i="20"/>
  <c r="AB8" i="20"/>
  <c r="AD7" i="20"/>
  <c r="AC7" i="20"/>
  <c r="AB7" i="20"/>
  <c r="AD6" i="20"/>
  <c r="AC6" i="20"/>
  <c r="AB6" i="20"/>
  <c r="AD5" i="20"/>
  <c r="AC5" i="20"/>
  <c r="AB5" i="20"/>
  <c r="L34" i="19"/>
  <c r="P34" i="19" s="1"/>
  <c r="R34" i="19" s="1"/>
  <c r="R33" i="19"/>
  <c r="L33" i="19"/>
  <c r="P33" i="19" s="1"/>
  <c r="L32" i="19"/>
  <c r="P32" i="19" s="1"/>
  <c r="R32" i="19" s="1"/>
  <c r="R35" i="19" s="1"/>
  <c r="AR28" i="19"/>
  <c r="AQ28" i="19"/>
  <c r="AP28" i="19"/>
  <c r="D692" i="1" s="1"/>
  <c r="AR27" i="19"/>
  <c r="AQ27" i="19"/>
  <c r="AP27" i="19"/>
  <c r="AR26" i="19"/>
  <c r="AQ26" i="19"/>
  <c r="E636" i="1" s="1"/>
  <c r="AP26" i="19"/>
  <c r="AR25" i="19"/>
  <c r="AQ25" i="19"/>
  <c r="E609" i="1" s="1"/>
  <c r="AP25" i="19"/>
  <c r="AR24" i="19"/>
  <c r="AQ24" i="19"/>
  <c r="AP24" i="19"/>
  <c r="AR23" i="19"/>
  <c r="F553" i="1" s="1"/>
  <c r="AQ23" i="19"/>
  <c r="AP23" i="19"/>
  <c r="AR22" i="19"/>
  <c r="AQ22" i="19"/>
  <c r="AP22" i="19"/>
  <c r="AR21" i="19"/>
  <c r="AQ21" i="19"/>
  <c r="AP21" i="19"/>
  <c r="AR20" i="19"/>
  <c r="AQ20" i="19"/>
  <c r="AP20" i="19"/>
  <c r="D469" i="1" s="1"/>
  <c r="AR19" i="19"/>
  <c r="AQ19" i="19"/>
  <c r="AP19" i="19"/>
  <c r="AR18" i="19"/>
  <c r="AQ18" i="19"/>
  <c r="E413" i="1" s="1"/>
  <c r="AP18" i="19"/>
  <c r="AR17" i="19"/>
  <c r="AQ17" i="19"/>
  <c r="E385" i="1" s="1"/>
  <c r="AP17" i="19"/>
  <c r="AR16" i="19"/>
  <c r="AQ16" i="19"/>
  <c r="AP16" i="19"/>
  <c r="AR15" i="19"/>
  <c r="F329" i="1" s="1"/>
  <c r="AQ15" i="19"/>
  <c r="AP15" i="19"/>
  <c r="AR14" i="19"/>
  <c r="AQ14" i="19"/>
  <c r="AP14" i="19"/>
  <c r="AR13" i="19"/>
  <c r="AQ13" i="19"/>
  <c r="AP13" i="19"/>
  <c r="AR12" i="19"/>
  <c r="AQ12" i="19"/>
  <c r="AP12" i="19"/>
  <c r="D245" i="1" s="1"/>
  <c r="AR11" i="19"/>
  <c r="AQ11" i="19"/>
  <c r="AP11" i="19"/>
  <c r="AR10" i="19"/>
  <c r="AQ10" i="19"/>
  <c r="E189" i="1" s="1"/>
  <c r="AP10" i="19"/>
  <c r="AR9" i="19"/>
  <c r="AQ9" i="19"/>
  <c r="AP9" i="19"/>
  <c r="AR8" i="19"/>
  <c r="AQ8" i="19"/>
  <c r="AP8" i="19"/>
  <c r="AR7" i="19"/>
  <c r="F81" i="1" s="1"/>
  <c r="AQ7" i="19"/>
  <c r="AP7" i="19"/>
  <c r="AR6" i="19"/>
  <c r="AQ6" i="19"/>
  <c r="AP6" i="19"/>
  <c r="AR5" i="19"/>
  <c r="AQ5" i="19"/>
  <c r="AP5" i="19"/>
  <c r="AP29" i="19" s="1"/>
  <c r="AC28" i="18"/>
  <c r="AB28" i="18"/>
  <c r="AA28" i="18"/>
  <c r="AC27" i="18"/>
  <c r="AB27" i="18"/>
  <c r="E661" i="1" s="1"/>
  <c r="AA27" i="18"/>
  <c r="AC26" i="18"/>
  <c r="AB26" i="18"/>
  <c r="E634" i="1" s="1"/>
  <c r="AA26" i="18"/>
  <c r="AC25" i="18"/>
  <c r="AB25" i="18"/>
  <c r="AA25" i="18"/>
  <c r="AC24" i="18"/>
  <c r="F578" i="1" s="1"/>
  <c r="AB24" i="18"/>
  <c r="AA24" i="18"/>
  <c r="AC23" i="18"/>
  <c r="AB23" i="18"/>
  <c r="AA23" i="18"/>
  <c r="AC22" i="18"/>
  <c r="AB22" i="18"/>
  <c r="AA22" i="18"/>
  <c r="AC21" i="18"/>
  <c r="AB21" i="18"/>
  <c r="AA21" i="18"/>
  <c r="D494" i="1" s="1"/>
  <c r="AC20" i="18"/>
  <c r="AB20" i="18"/>
  <c r="AA20" i="18"/>
  <c r="AC19" i="18"/>
  <c r="AB19" i="18"/>
  <c r="E438" i="1" s="1"/>
  <c r="AA19" i="18"/>
  <c r="AC18" i="18"/>
  <c r="AB18" i="18"/>
  <c r="E410" i="1" s="1"/>
  <c r="AA18" i="18"/>
  <c r="AC17" i="18"/>
  <c r="AB17" i="18"/>
  <c r="AA17" i="18"/>
  <c r="AC16" i="18"/>
  <c r="F354" i="1" s="1"/>
  <c r="AB16" i="18"/>
  <c r="AA16" i="18"/>
  <c r="AC15" i="18"/>
  <c r="AB15" i="18"/>
  <c r="AA15" i="18"/>
  <c r="AC14" i="18"/>
  <c r="AB14" i="18"/>
  <c r="AA14" i="18"/>
  <c r="AC13" i="18"/>
  <c r="AB13" i="18"/>
  <c r="AA13" i="18"/>
  <c r="D270" i="1" s="1"/>
  <c r="AC12" i="18"/>
  <c r="AB12" i="18"/>
  <c r="AA12" i="18"/>
  <c r="AC11" i="18"/>
  <c r="AB11" i="18"/>
  <c r="E214" i="1" s="1"/>
  <c r="AA11" i="18"/>
  <c r="AC10" i="18"/>
  <c r="AB10" i="18"/>
  <c r="E186" i="1" s="1"/>
  <c r="AA10" i="18"/>
  <c r="AC9" i="18"/>
  <c r="AB9" i="18"/>
  <c r="AA9" i="18"/>
  <c r="AC8" i="18"/>
  <c r="F106" i="1" s="1"/>
  <c r="AB8" i="18"/>
  <c r="AA8" i="18"/>
  <c r="AC7" i="18"/>
  <c r="F78" i="1" s="1"/>
  <c r="AB7" i="18"/>
  <c r="AA7" i="18"/>
  <c r="AC6" i="18"/>
  <c r="AB6" i="18"/>
  <c r="AA6" i="18"/>
  <c r="AC5" i="18"/>
  <c r="AB5" i="18"/>
  <c r="AA5" i="18"/>
  <c r="D22" i="1" s="1"/>
  <c r="BY28" i="17"/>
  <c r="BX28" i="17"/>
  <c r="E688" i="1" s="1"/>
  <c r="BW28" i="17"/>
  <c r="BY27" i="17"/>
  <c r="BX27" i="17"/>
  <c r="E660" i="1" s="1"/>
  <c r="BW27" i="17"/>
  <c r="BY26" i="17"/>
  <c r="BX26" i="17"/>
  <c r="BW26" i="17"/>
  <c r="BY25" i="17"/>
  <c r="F605" i="1" s="1"/>
  <c r="BX25" i="17"/>
  <c r="BW25" i="17"/>
  <c r="BY24" i="17"/>
  <c r="F577" i="1" s="1"/>
  <c r="BX24" i="17"/>
  <c r="BW24" i="17"/>
  <c r="BY23" i="17"/>
  <c r="BX23" i="17"/>
  <c r="BW23" i="17"/>
  <c r="D549" i="1" s="1"/>
  <c r="BY22" i="17"/>
  <c r="BX22" i="17"/>
  <c r="BW22" i="17"/>
  <c r="BY21" i="17"/>
  <c r="BX21" i="17"/>
  <c r="BW21" i="17"/>
  <c r="BY20" i="17"/>
  <c r="BX20" i="17"/>
  <c r="E465" i="1" s="1"/>
  <c r="BW20" i="17"/>
  <c r="BY19" i="17"/>
  <c r="BX19" i="17"/>
  <c r="E437" i="1" s="1"/>
  <c r="BW19" i="17"/>
  <c r="BY18" i="17"/>
  <c r="BX18" i="17"/>
  <c r="BW18" i="17"/>
  <c r="BY17" i="17"/>
  <c r="F381" i="1" s="1"/>
  <c r="BX17" i="17"/>
  <c r="BW17" i="17"/>
  <c r="BY16" i="17"/>
  <c r="F353" i="1" s="1"/>
  <c r="BX16" i="17"/>
  <c r="BW16" i="17"/>
  <c r="BY15" i="17"/>
  <c r="BX15" i="17"/>
  <c r="BW15" i="17"/>
  <c r="D325" i="1" s="1"/>
  <c r="BY14" i="17"/>
  <c r="BX14" i="17"/>
  <c r="BW14" i="17"/>
  <c r="BY13" i="17"/>
  <c r="BX13" i="17"/>
  <c r="BW13" i="17"/>
  <c r="BY12" i="17"/>
  <c r="BX12" i="17"/>
  <c r="E241" i="1" s="1"/>
  <c r="BW12" i="17"/>
  <c r="BY11" i="17"/>
  <c r="BX11" i="17"/>
  <c r="E213" i="1" s="1"/>
  <c r="BW11" i="17"/>
  <c r="BY10" i="17"/>
  <c r="BX10" i="17"/>
  <c r="BW10" i="17"/>
  <c r="BY9" i="17"/>
  <c r="BX9" i="17"/>
  <c r="BW9" i="17"/>
  <c r="BY8" i="17"/>
  <c r="BX8" i="17"/>
  <c r="BW8" i="17"/>
  <c r="BY7" i="17"/>
  <c r="BX7" i="17"/>
  <c r="BW7" i="17"/>
  <c r="BY6" i="17"/>
  <c r="BX6" i="17"/>
  <c r="BW6" i="17"/>
  <c r="BY5" i="17"/>
  <c r="BX5" i="17"/>
  <c r="BW5" i="17"/>
  <c r="BW29" i="17" s="1"/>
  <c r="G34" i="16"/>
  <c r="Q33" i="16"/>
  <c r="G33" i="16"/>
  <c r="P33" i="16" s="1"/>
  <c r="AR28" i="16"/>
  <c r="AQ28" i="16"/>
  <c r="AP28" i="16"/>
  <c r="AR27" i="16"/>
  <c r="AQ27" i="16"/>
  <c r="AP27" i="16"/>
  <c r="D657" i="1" s="1"/>
  <c r="AR26" i="16"/>
  <c r="AQ26" i="16"/>
  <c r="AP26" i="16"/>
  <c r="AR25" i="16"/>
  <c r="AQ25" i="16"/>
  <c r="E602" i="1" s="1"/>
  <c r="AP25" i="16"/>
  <c r="AR24" i="16"/>
  <c r="AQ24" i="16"/>
  <c r="E574" i="1" s="1"/>
  <c r="AP24" i="16"/>
  <c r="AR23" i="16"/>
  <c r="AQ23" i="16"/>
  <c r="AP23" i="16"/>
  <c r="AR22" i="16"/>
  <c r="F518" i="1" s="1"/>
  <c r="AQ22" i="16"/>
  <c r="AP22" i="16"/>
  <c r="AR21" i="16"/>
  <c r="AQ21" i="16"/>
  <c r="AP21" i="16"/>
  <c r="AR20" i="16"/>
  <c r="AQ20" i="16"/>
  <c r="AP20" i="16"/>
  <c r="AR19" i="16"/>
  <c r="AQ19" i="16"/>
  <c r="AP19" i="16"/>
  <c r="D434" i="1" s="1"/>
  <c r="AR18" i="16"/>
  <c r="AQ18" i="16"/>
  <c r="AP18" i="16"/>
  <c r="AR17" i="16"/>
  <c r="AQ17" i="16"/>
  <c r="E378" i="1" s="1"/>
  <c r="AP17" i="16"/>
  <c r="AR16" i="16"/>
  <c r="AQ16" i="16"/>
  <c r="E350" i="1" s="1"/>
  <c r="AP16" i="16"/>
  <c r="AR15" i="16"/>
  <c r="AQ15" i="16"/>
  <c r="AP15" i="16"/>
  <c r="AR14" i="16"/>
  <c r="F294" i="1" s="1"/>
  <c r="AQ14" i="16"/>
  <c r="AP14" i="16"/>
  <c r="AR13" i="16"/>
  <c r="AQ13" i="16"/>
  <c r="AP13" i="16"/>
  <c r="AR12" i="16"/>
  <c r="AQ12" i="16"/>
  <c r="AP12" i="16"/>
  <c r="AR11" i="16"/>
  <c r="AQ11" i="16"/>
  <c r="AP11" i="16"/>
  <c r="D210" i="1" s="1"/>
  <c r="AR10" i="16"/>
  <c r="AQ10" i="16"/>
  <c r="AP10" i="16"/>
  <c r="AR9" i="16"/>
  <c r="AQ9" i="16"/>
  <c r="E154" i="1" s="1"/>
  <c r="AP9" i="16"/>
  <c r="AR8" i="16"/>
  <c r="AQ8" i="16"/>
  <c r="AP8" i="16"/>
  <c r="AR7" i="16"/>
  <c r="AQ7" i="16"/>
  <c r="AP7" i="16"/>
  <c r="AR6" i="16"/>
  <c r="AQ6" i="16"/>
  <c r="AP6" i="16"/>
  <c r="AR5" i="16"/>
  <c r="AR29" i="16" s="1"/>
  <c r="AQ5" i="16"/>
  <c r="AP5" i="16"/>
  <c r="BE28" i="15"/>
  <c r="BD28" i="15"/>
  <c r="BC28" i="15"/>
  <c r="D686" i="1" s="1"/>
  <c r="BE27" i="15"/>
  <c r="BD27" i="15"/>
  <c r="BC27" i="15"/>
  <c r="BE26" i="15"/>
  <c r="BD26" i="15"/>
  <c r="BC26" i="15"/>
  <c r="BE25" i="15"/>
  <c r="BD25" i="15"/>
  <c r="E603" i="1" s="1"/>
  <c r="BC25" i="15"/>
  <c r="BE24" i="15"/>
  <c r="BD24" i="15"/>
  <c r="BC24" i="15"/>
  <c r="BE23" i="15"/>
  <c r="F547" i="1" s="1"/>
  <c r="BD23" i="15"/>
  <c r="BC23" i="15"/>
  <c r="BE22" i="15"/>
  <c r="F519" i="1" s="1"/>
  <c r="BD22" i="15"/>
  <c r="BC22" i="15"/>
  <c r="BE21" i="15"/>
  <c r="BD21" i="15"/>
  <c r="BC21" i="15"/>
  <c r="D491" i="1" s="1"/>
  <c r="BE20" i="15"/>
  <c r="BD20" i="15"/>
  <c r="BC20" i="15"/>
  <c r="D463" i="1" s="1"/>
  <c r="BE19" i="15"/>
  <c r="BD19" i="15"/>
  <c r="BC19" i="15"/>
  <c r="BE18" i="15"/>
  <c r="BD18" i="15"/>
  <c r="BC18" i="15"/>
  <c r="BE17" i="15"/>
  <c r="BD17" i="15"/>
  <c r="E379" i="1" s="1"/>
  <c r="BC17" i="15"/>
  <c r="BE16" i="15"/>
  <c r="BD16" i="15"/>
  <c r="BC16" i="15"/>
  <c r="BE15" i="15"/>
  <c r="F323" i="1" s="1"/>
  <c r="BD15" i="15"/>
  <c r="BC15" i="15"/>
  <c r="BE14" i="15"/>
  <c r="F295" i="1" s="1"/>
  <c r="BD14" i="15"/>
  <c r="BC14" i="15"/>
  <c r="BE13" i="15"/>
  <c r="BD13" i="15"/>
  <c r="BC13" i="15"/>
  <c r="D267" i="1" s="1"/>
  <c r="BE12" i="15"/>
  <c r="BD12" i="15"/>
  <c r="BC12" i="15"/>
  <c r="D239" i="1" s="1"/>
  <c r="BE11" i="15"/>
  <c r="BD11" i="15"/>
  <c r="BC11" i="15"/>
  <c r="BE10" i="15"/>
  <c r="BD10" i="15"/>
  <c r="BC10" i="15"/>
  <c r="BE9" i="15"/>
  <c r="BD9" i="15"/>
  <c r="E155" i="1" s="1"/>
  <c r="BC9" i="15"/>
  <c r="BE8" i="15"/>
  <c r="BD8" i="15"/>
  <c r="BC8" i="15"/>
  <c r="BE7" i="15"/>
  <c r="BD7" i="15"/>
  <c r="BC7" i="15"/>
  <c r="BE6" i="15"/>
  <c r="BD6" i="15"/>
  <c r="BC6" i="15"/>
  <c r="BE5" i="15"/>
  <c r="BD5" i="15"/>
  <c r="BC5" i="15"/>
  <c r="BC29" i="15" s="1"/>
  <c r="BT28" i="14"/>
  <c r="BS28" i="14"/>
  <c r="BR28" i="14"/>
  <c r="BT27" i="14"/>
  <c r="BS27" i="14"/>
  <c r="E656" i="1" s="1"/>
  <c r="BR27" i="14"/>
  <c r="BT26" i="14"/>
  <c r="BS26" i="14"/>
  <c r="E629" i="1" s="1"/>
  <c r="BR26" i="14"/>
  <c r="BT25" i="14"/>
  <c r="BS25" i="14"/>
  <c r="BR25" i="14"/>
  <c r="BT24" i="14"/>
  <c r="F573" i="1" s="1"/>
  <c r="BS24" i="14"/>
  <c r="BR24" i="14"/>
  <c r="BT23" i="14"/>
  <c r="BS23" i="14"/>
  <c r="BR23" i="14"/>
  <c r="BT22" i="14"/>
  <c r="BS22" i="14"/>
  <c r="BR22" i="14"/>
  <c r="BT21" i="14"/>
  <c r="BS21" i="14"/>
  <c r="BR21" i="14"/>
  <c r="D489" i="1" s="1"/>
  <c r="BT20" i="14"/>
  <c r="BS20" i="14"/>
  <c r="BR20" i="14"/>
  <c r="BT19" i="14"/>
  <c r="BS19" i="14"/>
  <c r="E433" i="1" s="1"/>
  <c r="BR19" i="14"/>
  <c r="BT18" i="14"/>
  <c r="BS18" i="14"/>
  <c r="E405" i="1" s="1"/>
  <c r="BR18" i="14"/>
  <c r="BT17" i="14"/>
  <c r="BS17" i="14"/>
  <c r="BR17" i="14"/>
  <c r="BT16" i="14"/>
  <c r="F349" i="1" s="1"/>
  <c r="BS16" i="14"/>
  <c r="BR16" i="14"/>
  <c r="BT15" i="14"/>
  <c r="BS15" i="14"/>
  <c r="BR15" i="14"/>
  <c r="BT14" i="14"/>
  <c r="BS14" i="14"/>
  <c r="BR14" i="14"/>
  <c r="BT13" i="14"/>
  <c r="BS13" i="14"/>
  <c r="BR13" i="14"/>
  <c r="D265" i="1" s="1"/>
  <c r="BT12" i="14"/>
  <c r="BS12" i="14"/>
  <c r="BR12" i="14"/>
  <c r="BT11" i="14"/>
  <c r="BS11" i="14"/>
  <c r="E209" i="1" s="1"/>
  <c r="BR11" i="14"/>
  <c r="BT10" i="14"/>
  <c r="BS10" i="14"/>
  <c r="BR10" i="14"/>
  <c r="BT9" i="14"/>
  <c r="BS9" i="14"/>
  <c r="BR9" i="14"/>
  <c r="BT8" i="14"/>
  <c r="F101" i="1" s="1"/>
  <c r="BS8" i="14"/>
  <c r="BR8" i="14"/>
  <c r="BT7" i="14"/>
  <c r="BS7" i="14"/>
  <c r="BR7" i="14"/>
  <c r="BT6" i="14"/>
  <c r="BS6" i="14"/>
  <c r="BR6" i="14"/>
  <c r="BT5" i="14"/>
  <c r="BS5" i="14"/>
  <c r="BS29" i="14" s="1"/>
  <c r="BR5" i="14"/>
  <c r="BR29" i="14" s="1"/>
  <c r="CA28" i="13"/>
  <c r="BZ28" i="13"/>
  <c r="E683" i="1" s="1"/>
  <c r="BY28" i="13"/>
  <c r="CA27" i="13"/>
  <c r="BZ27" i="13"/>
  <c r="E655" i="1" s="1"/>
  <c r="BY27" i="13"/>
  <c r="CA26" i="13"/>
  <c r="BZ26" i="13"/>
  <c r="BY26" i="13"/>
  <c r="CA25" i="13"/>
  <c r="F600" i="1" s="1"/>
  <c r="BZ25" i="13"/>
  <c r="BY25" i="13"/>
  <c r="CA24" i="13"/>
  <c r="F572" i="1" s="1"/>
  <c r="BZ24" i="13"/>
  <c r="BY24" i="13"/>
  <c r="CA23" i="13"/>
  <c r="BZ23" i="13"/>
  <c r="BY23" i="13"/>
  <c r="D544" i="1" s="1"/>
  <c r="CA22" i="13"/>
  <c r="BZ22" i="13"/>
  <c r="BY22" i="13"/>
  <c r="D516" i="1" s="1"/>
  <c r="CA21" i="13"/>
  <c r="BZ21" i="13"/>
  <c r="BY21" i="13"/>
  <c r="CA20" i="13"/>
  <c r="BZ20" i="13"/>
  <c r="E460" i="1" s="1"/>
  <c r="BY20" i="13"/>
  <c r="CA19" i="13"/>
  <c r="BZ19" i="13"/>
  <c r="E432" i="1" s="1"/>
  <c r="BY19" i="13"/>
  <c r="CA18" i="13"/>
  <c r="BZ18" i="13"/>
  <c r="BY18" i="13"/>
  <c r="CA17" i="13"/>
  <c r="F376" i="1" s="1"/>
  <c r="BZ17" i="13"/>
  <c r="BY17" i="13"/>
  <c r="CA16" i="13"/>
  <c r="F348" i="1" s="1"/>
  <c r="BZ16" i="13"/>
  <c r="BY16" i="13"/>
  <c r="CA15" i="13"/>
  <c r="BZ15" i="13"/>
  <c r="BY15" i="13"/>
  <c r="D320" i="1" s="1"/>
  <c r="CA14" i="13"/>
  <c r="BZ14" i="13"/>
  <c r="BY14" i="13"/>
  <c r="D292" i="1" s="1"/>
  <c r="CA13" i="13"/>
  <c r="BZ13" i="13"/>
  <c r="BY13" i="13"/>
  <c r="CA12" i="13"/>
  <c r="BZ12" i="13"/>
  <c r="E236" i="1" s="1"/>
  <c r="BY12" i="13"/>
  <c r="CA11" i="13"/>
  <c r="BZ11" i="13"/>
  <c r="E208" i="1" s="1"/>
  <c r="BY11" i="13"/>
  <c r="CA10" i="13"/>
  <c r="BZ10" i="13"/>
  <c r="BY10" i="13"/>
  <c r="CA9" i="13"/>
  <c r="F152" i="1" s="1"/>
  <c r="BZ9" i="13"/>
  <c r="BY9" i="13"/>
  <c r="CA8" i="13"/>
  <c r="F100" i="1" s="1"/>
  <c r="BZ8" i="13"/>
  <c r="BY8" i="13"/>
  <c r="CA7" i="13"/>
  <c r="BZ7" i="13"/>
  <c r="BY7" i="13"/>
  <c r="D72" i="1" s="1"/>
  <c r="CA6" i="13"/>
  <c r="BZ6" i="13"/>
  <c r="BY6" i="13"/>
  <c r="D44" i="1" s="1"/>
  <c r="CA5" i="13"/>
  <c r="BZ5" i="13"/>
  <c r="BY5" i="13"/>
  <c r="Y34" i="12"/>
  <c r="Y33" i="12"/>
  <c r="Y32" i="12"/>
  <c r="Y31" i="12"/>
  <c r="Y30" i="12"/>
  <c r="AB28" i="12"/>
  <c r="AA28" i="12"/>
  <c r="Z28" i="12"/>
  <c r="AB27" i="12"/>
  <c r="AA27" i="12"/>
  <c r="E654" i="1" s="1"/>
  <c r="Z27" i="12"/>
  <c r="AB26" i="12"/>
  <c r="AA26" i="12"/>
  <c r="Z26" i="12"/>
  <c r="AB25" i="12"/>
  <c r="F599" i="1" s="1"/>
  <c r="AA25" i="12"/>
  <c r="Z25" i="12"/>
  <c r="AB24" i="12"/>
  <c r="F571" i="1" s="1"/>
  <c r="AA24" i="12"/>
  <c r="Z24" i="12"/>
  <c r="AB23" i="12"/>
  <c r="AA23" i="12"/>
  <c r="Z23" i="12"/>
  <c r="D543" i="1" s="1"/>
  <c r="AB22" i="12"/>
  <c r="AA22" i="12"/>
  <c r="Z22" i="12"/>
  <c r="D515" i="1" s="1"/>
  <c r="AB21" i="12"/>
  <c r="AA21" i="12"/>
  <c r="Z21" i="12"/>
  <c r="AB20" i="12"/>
  <c r="AA20" i="12"/>
  <c r="Z20" i="12"/>
  <c r="AB19" i="12"/>
  <c r="AA19" i="12"/>
  <c r="E431" i="1" s="1"/>
  <c r="Z19" i="12"/>
  <c r="AB18" i="12"/>
  <c r="AA18" i="12"/>
  <c r="Z18" i="12"/>
  <c r="AB17" i="12"/>
  <c r="F375" i="1" s="1"/>
  <c r="AA17" i="12"/>
  <c r="Z17" i="12"/>
  <c r="AB16" i="12"/>
  <c r="F347" i="1" s="1"/>
  <c r="AA16" i="12"/>
  <c r="Z16" i="12"/>
  <c r="AB15" i="12"/>
  <c r="AA15" i="12"/>
  <c r="Z15" i="12"/>
  <c r="D319" i="1" s="1"/>
  <c r="AB14" i="12"/>
  <c r="AA14" i="12"/>
  <c r="Z14" i="12"/>
  <c r="D291" i="1" s="1"/>
  <c r="AB13" i="12"/>
  <c r="AA13" i="12"/>
  <c r="Z13" i="12"/>
  <c r="AB12" i="12"/>
  <c r="AA12" i="12"/>
  <c r="Z12" i="12"/>
  <c r="AB11" i="12"/>
  <c r="AA11" i="12"/>
  <c r="E207" i="1" s="1"/>
  <c r="Z11" i="12"/>
  <c r="AI10" i="12"/>
  <c r="AH10" i="12"/>
  <c r="AB10" i="12"/>
  <c r="AA10" i="12"/>
  <c r="Z10" i="12"/>
  <c r="AI9" i="12"/>
  <c r="AH9" i="12"/>
  <c r="AF9" i="12"/>
  <c r="AL9" i="12" s="1"/>
  <c r="AL10" i="12" s="1"/>
  <c r="AE9" i="12"/>
  <c r="AK9" i="12" s="1"/>
  <c r="AK10" i="12" s="1"/>
  <c r="AB9" i="12"/>
  <c r="AA9" i="12"/>
  <c r="Z9" i="12"/>
  <c r="AB8" i="12"/>
  <c r="AA8" i="12"/>
  <c r="Z8" i="12"/>
  <c r="AB7" i="12"/>
  <c r="F71" i="1" s="1"/>
  <c r="AA7" i="12"/>
  <c r="Z7" i="12"/>
  <c r="AB6" i="12"/>
  <c r="AA6" i="12"/>
  <c r="Z6" i="12"/>
  <c r="AB5" i="12"/>
  <c r="AA5" i="12"/>
  <c r="Z5" i="12"/>
  <c r="Z29" i="12" s="1"/>
  <c r="AL28" i="11"/>
  <c r="AK28" i="11"/>
  <c r="AJ28" i="11"/>
  <c r="AL27" i="11"/>
  <c r="AK27" i="11"/>
  <c r="E653" i="1" s="1"/>
  <c r="AJ27" i="11"/>
  <c r="AL26" i="11"/>
  <c r="AK26" i="11"/>
  <c r="AJ26" i="11"/>
  <c r="AL25" i="11"/>
  <c r="AK25" i="11"/>
  <c r="AJ25" i="11"/>
  <c r="AL24" i="11"/>
  <c r="F570" i="1" s="1"/>
  <c r="AK24" i="11"/>
  <c r="AJ24" i="11"/>
  <c r="AL23" i="11"/>
  <c r="F542" i="1" s="1"/>
  <c r="AK23" i="11"/>
  <c r="AJ23" i="11"/>
  <c r="AL22" i="11"/>
  <c r="AK22" i="11"/>
  <c r="AJ22" i="11"/>
  <c r="D514" i="1" s="1"/>
  <c r="AL21" i="11"/>
  <c r="AK21" i="11"/>
  <c r="AJ21" i="11"/>
  <c r="D486" i="1" s="1"/>
  <c r="AL20" i="11"/>
  <c r="AK20" i="11"/>
  <c r="AJ20" i="11"/>
  <c r="AL19" i="11"/>
  <c r="AK19" i="11"/>
  <c r="E430" i="1" s="1"/>
  <c r="AJ19" i="11"/>
  <c r="AL18" i="11"/>
  <c r="AK18" i="11"/>
  <c r="AJ18" i="11"/>
  <c r="AL17" i="11"/>
  <c r="AK17" i="11"/>
  <c r="AJ17" i="11"/>
  <c r="AL16" i="11"/>
  <c r="F346" i="1" s="1"/>
  <c r="AK16" i="11"/>
  <c r="AJ16" i="11"/>
  <c r="AL15" i="11"/>
  <c r="F318" i="1" s="1"/>
  <c r="AK15" i="11"/>
  <c r="AJ15" i="11"/>
  <c r="AL14" i="11"/>
  <c r="AK14" i="11"/>
  <c r="AJ14" i="11"/>
  <c r="D290" i="1" s="1"/>
  <c r="AL13" i="11"/>
  <c r="AK13" i="11"/>
  <c r="AJ13" i="11"/>
  <c r="D262" i="1" s="1"/>
  <c r="AL12" i="11"/>
  <c r="AK12" i="11"/>
  <c r="AJ12" i="11"/>
  <c r="AL11" i="11"/>
  <c r="AK11" i="11"/>
  <c r="E206" i="1" s="1"/>
  <c r="AJ11" i="11"/>
  <c r="AL10" i="11"/>
  <c r="AK10" i="11"/>
  <c r="AJ10" i="11"/>
  <c r="AL9" i="11"/>
  <c r="AK9" i="11"/>
  <c r="AJ9" i="11"/>
  <c r="AL8" i="11"/>
  <c r="F98" i="1" s="1"/>
  <c r="AK8" i="11"/>
  <c r="AJ8" i="11"/>
  <c r="AL7" i="11"/>
  <c r="F70" i="1" s="1"/>
  <c r="AK7" i="11"/>
  <c r="AJ7" i="11"/>
  <c r="AL6" i="11"/>
  <c r="AK6" i="11"/>
  <c r="AJ6" i="11"/>
  <c r="D42" i="1" s="1"/>
  <c r="AL5" i="11"/>
  <c r="AL29" i="11" s="1"/>
  <c r="AK5" i="11"/>
  <c r="AK29" i="11" s="1"/>
  <c r="AJ5" i="11"/>
  <c r="AJ29" i="11" s="1"/>
  <c r="BE28" i="10"/>
  <c r="BD28" i="10"/>
  <c r="BC28" i="10"/>
  <c r="BE27" i="10"/>
  <c r="BD27" i="10"/>
  <c r="E652" i="1" s="1"/>
  <c r="BC27" i="10"/>
  <c r="BE26" i="10"/>
  <c r="BD26" i="10"/>
  <c r="BC26" i="10"/>
  <c r="BE25" i="10"/>
  <c r="F597" i="1" s="1"/>
  <c r="BD25" i="10"/>
  <c r="BC25" i="10"/>
  <c r="BE24" i="10"/>
  <c r="F569" i="1" s="1"/>
  <c r="BD24" i="10"/>
  <c r="BC24" i="10"/>
  <c r="BE23" i="10"/>
  <c r="BD23" i="10"/>
  <c r="BC23" i="10"/>
  <c r="D541" i="1" s="1"/>
  <c r="BE22" i="10"/>
  <c r="BD22" i="10"/>
  <c r="BC22" i="10"/>
  <c r="BE21" i="10"/>
  <c r="BD21" i="10"/>
  <c r="BC21" i="10"/>
  <c r="BE20" i="10"/>
  <c r="BD20" i="10"/>
  <c r="BC20" i="10"/>
  <c r="BE19" i="10"/>
  <c r="BD19" i="10"/>
  <c r="E429" i="1" s="1"/>
  <c r="BC19" i="10"/>
  <c r="BE18" i="10"/>
  <c r="BD18" i="10"/>
  <c r="BC18" i="10"/>
  <c r="BE17" i="10"/>
  <c r="F373" i="1" s="1"/>
  <c r="BD17" i="10"/>
  <c r="BC17" i="10"/>
  <c r="BE16" i="10"/>
  <c r="F345" i="1" s="1"/>
  <c r="BD16" i="10"/>
  <c r="BC16" i="10"/>
  <c r="BE15" i="10"/>
  <c r="BD15" i="10"/>
  <c r="BC15" i="10"/>
  <c r="D317" i="1" s="1"/>
  <c r="BE14" i="10"/>
  <c r="BD14" i="10"/>
  <c r="BC14" i="10"/>
  <c r="BE13" i="10"/>
  <c r="BD13" i="10"/>
  <c r="BC13" i="10"/>
  <c r="BE12" i="10"/>
  <c r="BD12" i="10"/>
  <c r="BC12" i="10"/>
  <c r="BE11" i="10"/>
  <c r="BD11" i="10"/>
  <c r="E205" i="1" s="1"/>
  <c r="BC11" i="10"/>
  <c r="BE10" i="10"/>
  <c r="BD10" i="10"/>
  <c r="BC10" i="10"/>
  <c r="BE9" i="10"/>
  <c r="F149" i="1" s="1"/>
  <c r="BD9" i="10"/>
  <c r="BC9" i="10"/>
  <c r="BE8" i="10"/>
  <c r="F97" i="1" s="1"/>
  <c r="BD8" i="10"/>
  <c r="BC8" i="10"/>
  <c r="BE7" i="10"/>
  <c r="BD7" i="10"/>
  <c r="BC7" i="10"/>
  <c r="D69" i="1" s="1"/>
  <c r="BE6" i="10"/>
  <c r="BD6" i="10"/>
  <c r="BC6" i="10"/>
  <c r="BE5" i="10"/>
  <c r="BE29" i="10" s="1"/>
  <c r="BD5" i="10"/>
  <c r="BD29" i="10" s="1"/>
  <c r="BC5" i="10"/>
  <c r="BC29" i="10" s="1"/>
  <c r="G34" i="9"/>
  <c r="Q33" i="9"/>
  <c r="P33" i="9"/>
  <c r="G33" i="9"/>
  <c r="CF28" i="9"/>
  <c r="CE28" i="9"/>
  <c r="CD28" i="9"/>
  <c r="CF27" i="9"/>
  <c r="CE27" i="9"/>
  <c r="CD27" i="9"/>
  <c r="D651" i="1" s="1"/>
  <c r="CF26" i="9"/>
  <c r="CE26" i="9"/>
  <c r="CD26" i="9"/>
  <c r="CF25" i="9"/>
  <c r="CE25" i="9"/>
  <c r="E596" i="1" s="1"/>
  <c r="CD25" i="9"/>
  <c r="CF24" i="9"/>
  <c r="CE24" i="9"/>
  <c r="E568" i="1" s="1"/>
  <c r="CD24" i="9"/>
  <c r="CF23" i="9"/>
  <c r="CE23" i="9"/>
  <c r="CD23" i="9"/>
  <c r="CF22" i="9"/>
  <c r="F512" i="1" s="1"/>
  <c r="CE22" i="9"/>
  <c r="CD22" i="9"/>
  <c r="CF21" i="9"/>
  <c r="CE21" i="9"/>
  <c r="CD21" i="9"/>
  <c r="CF20" i="9"/>
  <c r="CE20" i="9"/>
  <c r="CD20" i="9"/>
  <c r="CF19" i="9"/>
  <c r="CE19" i="9"/>
  <c r="CD19" i="9"/>
  <c r="D428" i="1" s="1"/>
  <c r="CF18" i="9"/>
  <c r="CE18" i="9"/>
  <c r="CD18" i="9"/>
  <c r="CF17" i="9"/>
  <c r="CE17" i="9"/>
  <c r="E372" i="1" s="1"/>
  <c r="CD17" i="9"/>
  <c r="CF16" i="9"/>
  <c r="CE16" i="9"/>
  <c r="E344" i="1" s="1"/>
  <c r="CD16" i="9"/>
  <c r="CF15" i="9"/>
  <c r="CE15" i="9"/>
  <c r="CD15" i="9"/>
  <c r="CF14" i="9"/>
  <c r="F288" i="1" s="1"/>
  <c r="CE14" i="9"/>
  <c r="CD14" i="9"/>
  <c r="CF13" i="9"/>
  <c r="CE13" i="9"/>
  <c r="CD13" i="9"/>
  <c r="CF12" i="9"/>
  <c r="CE12" i="9"/>
  <c r="CD12" i="9"/>
  <c r="CF11" i="9"/>
  <c r="CE11" i="9"/>
  <c r="CD11" i="9"/>
  <c r="D204" i="1" s="1"/>
  <c r="CF10" i="9"/>
  <c r="CE10" i="9"/>
  <c r="CD10" i="9"/>
  <c r="CF9" i="9"/>
  <c r="CE9" i="9"/>
  <c r="E148" i="1" s="1"/>
  <c r="CD9" i="9"/>
  <c r="CF8" i="9"/>
  <c r="CE8" i="9"/>
  <c r="CD8" i="9"/>
  <c r="CF7" i="9"/>
  <c r="CE7" i="9"/>
  <c r="CD7" i="9"/>
  <c r="CF6" i="9"/>
  <c r="CE6" i="9"/>
  <c r="CD6" i="9"/>
  <c r="CF5" i="9"/>
  <c r="CF29" i="9" s="1"/>
  <c r="CE5" i="9"/>
  <c r="CD5" i="9"/>
  <c r="AY28" i="8"/>
  <c r="AX28" i="8"/>
  <c r="AW28" i="8"/>
  <c r="D678" i="1" s="1"/>
  <c r="AY27" i="8"/>
  <c r="AX27" i="8"/>
  <c r="AW27" i="8"/>
  <c r="AY26" i="8"/>
  <c r="AX26" i="8"/>
  <c r="E623" i="1" s="1"/>
  <c r="AW26" i="8"/>
  <c r="AY25" i="8"/>
  <c r="AX25" i="8"/>
  <c r="E595" i="1" s="1"/>
  <c r="AW25" i="8"/>
  <c r="AY24" i="8"/>
  <c r="AX24" i="8"/>
  <c r="AW24" i="8"/>
  <c r="AY23" i="8"/>
  <c r="F539" i="1" s="1"/>
  <c r="AX23" i="8"/>
  <c r="AW23" i="8"/>
  <c r="AY22" i="8"/>
  <c r="F511" i="1" s="1"/>
  <c r="AX22" i="8"/>
  <c r="AW22" i="8"/>
  <c r="AY21" i="8"/>
  <c r="AX21" i="8"/>
  <c r="AW21" i="8"/>
  <c r="D483" i="1" s="1"/>
  <c r="AY20" i="8"/>
  <c r="AX20" i="8"/>
  <c r="AW20" i="8"/>
  <c r="D455" i="1" s="1"/>
  <c r="AY19" i="8"/>
  <c r="AX19" i="8"/>
  <c r="AW19" i="8"/>
  <c r="AY18" i="8"/>
  <c r="AX18" i="8"/>
  <c r="E399" i="1" s="1"/>
  <c r="AW18" i="8"/>
  <c r="AY17" i="8"/>
  <c r="AX17" i="8"/>
  <c r="E371" i="1" s="1"/>
  <c r="AW17" i="8"/>
  <c r="AY16" i="8"/>
  <c r="AX16" i="8"/>
  <c r="AW16" i="8"/>
  <c r="AY15" i="8"/>
  <c r="F315" i="1" s="1"/>
  <c r="AX15" i="8"/>
  <c r="AW15" i="8"/>
  <c r="AY14" i="8"/>
  <c r="F287" i="1" s="1"/>
  <c r="AX14" i="8"/>
  <c r="AW14" i="8"/>
  <c r="AY13" i="8"/>
  <c r="AX13" i="8"/>
  <c r="AW13" i="8"/>
  <c r="D259" i="1" s="1"/>
  <c r="AY12" i="8"/>
  <c r="AX12" i="8"/>
  <c r="AW12" i="8"/>
  <c r="D231" i="1" s="1"/>
  <c r="AY11" i="8"/>
  <c r="AX11" i="8"/>
  <c r="AW11" i="8"/>
  <c r="AY10" i="8"/>
  <c r="AX10" i="8"/>
  <c r="E175" i="1" s="1"/>
  <c r="AW10" i="8"/>
  <c r="AY9" i="8"/>
  <c r="AX9" i="8"/>
  <c r="AW9" i="8"/>
  <c r="AY8" i="8"/>
  <c r="AX8" i="8"/>
  <c r="AW8" i="8"/>
  <c r="AY7" i="8"/>
  <c r="AX7" i="8"/>
  <c r="AW7" i="8"/>
  <c r="AY6" i="8"/>
  <c r="AX6" i="8"/>
  <c r="AW6" i="8"/>
  <c r="AY5" i="8"/>
  <c r="AX5" i="8"/>
  <c r="AW5" i="8"/>
  <c r="AW29" i="8" s="1"/>
  <c r="AS27" i="7"/>
  <c r="AR27" i="7"/>
  <c r="AQ27" i="7"/>
  <c r="AS26" i="7"/>
  <c r="AR26" i="7"/>
  <c r="E649" i="1" s="1"/>
  <c r="AQ26" i="7"/>
  <c r="AS25" i="7"/>
  <c r="AR25" i="7"/>
  <c r="E622" i="1" s="1"/>
  <c r="AQ25" i="7"/>
  <c r="AS24" i="7"/>
  <c r="AR24" i="7"/>
  <c r="AQ24" i="7"/>
  <c r="AS23" i="7"/>
  <c r="F566" i="1" s="1"/>
  <c r="AR23" i="7"/>
  <c r="AQ23" i="7"/>
  <c r="AS22" i="7"/>
  <c r="F538" i="1" s="1"/>
  <c r="AR22" i="7"/>
  <c r="AQ22" i="7"/>
  <c r="AS21" i="7"/>
  <c r="AR21" i="7"/>
  <c r="AQ21" i="7"/>
  <c r="AS20" i="7"/>
  <c r="AR20" i="7"/>
  <c r="AQ20" i="7"/>
  <c r="AS19" i="7"/>
  <c r="AR19" i="7"/>
  <c r="AQ19" i="7"/>
  <c r="AS18" i="7"/>
  <c r="AR18" i="7"/>
  <c r="AQ18" i="7"/>
  <c r="AS17" i="7"/>
  <c r="AR17" i="7"/>
  <c r="E370" i="1" s="1"/>
  <c r="AQ17" i="7"/>
  <c r="AS16" i="7"/>
  <c r="AR16" i="7"/>
  <c r="AQ16" i="7"/>
  <c r="AS15" i="7"/>
  <c r="F314" i="1" s="1"/>
  <c r="AR15" i="7"/>
  <c r="AQ15" i="7"/>
  <c r="AS14" i="7"/>
  <c r="F286" i="1" s="1"/>
  <c r="AR14" i="7"/>
  <c r="AQ14" i="7"/>
  <c r="AS13" i="7"/>
  <c r="AR13" i="7"/>
  <c r="AQ13" i="7"/>
  <c r="D258" i="1" s="1"/>
  <c r="AS12" i="7"/>
  <c r="AR12" i="7"/>
  <c r="AQ12" i="7"/>
  <c r="D230" i="1" s="1"/>
  <c r="AS11" i="7"/>
  <c r="AR11" i="7"/>
  <c r="AQ11" i="7"/>
  <c r="AS10" i="7"/>
  <c r="AR10" i="7"/>
  <c r="AQ10" i="7"/>
  <c r="AS9" i="7"/>
  <c r="AR9" i="7"/>
  <c r="E146" i="1" s="1"/>
  <c r="AQ9" i="7"/>
  <c r="AS8" i="7"/>
  <c r="AR8" i="7"/>
  <c r="AQ8" i="7"/>
  <c r="AS7" i="7"/>
  <c r="F66" i="1" s="1"/>
  <c r="AR7" i="7"/>
  <c r="AQ7" i="7"/>
  <c r="AS6" i="7"/>
  <c r="AR6" i="7"/>
  <c r="AQ6" i="7"/>
  <c r="AS5" i="7"/>
  <c r="AR5" i="7"/>
  <c r="AQ5" i="7"/>
  <c r="BT28" i="6"/>
  <c r="BS28" i="6"/>
  <c r="BR28" i="6"/>
  <c r="BT27" i="6"/>
  <c r="BS27" i="6"/>
  <c r="E648" i="1" s="1"/>
  <c r="BR27" i="6"/>
  <c r="BT26" i="6"/>
  <c r="BS26" i="6"/>
  <c r="E621" i="1" s="1"/>
  <c r="BR26" i="6"/>
  <c r="BT25" i="6"/>
  <c r="BS25" i="6"/>
  <c r="BR25" i="6"/>
  <c r="BT24" i="6"/>
  <c r="F565" i="1" s="1"/>
  <c r="BS24" i="6"/>
  <c r="BR24" i="6"/>
  <c r="BT23" i="6"/>
  <c r="BS23" i="6"/>
  <c r="BR23" i="6"/>
  <c r="BT22" i="6"/>
  <c r="BS22" i="6"/>
  <c r="BR22" i="6"/>
  <c r="BT21" i="6"/>
  <c r="BS21" i="6"/>
  <c r="BR21" i="6"/>
  <c r="D481" i="1" s="1"/>
  <c r="BT20" i="6"/>
  <c r="BS20" i="6"/>
  <c r="BR20" i="6"/>
  <c r="BT19" i="6"/>
  <c r="BS19" i="6"/>
  <c r="E425" i="1" s="1"/>
  <c r="BR19" i="6"/>
  <c r="BT18" i="6"/>
  <c r="BS18" i="6"/>
  <c r="E397" i="1" s="1"/>
  <c r="BR18" i="6"/>
  <c r="BT17" i="6"/>
  <c r="BS17" i="6"/>
  <c r="BR17" i="6"/>
  <c r="BT16" i="6"/>
  <c r="F341" i="1" s="1"/>
  <c r="BS16" i="6"/>
  <c r="BR16" i="6"/>
  <c r="BT15" i="6"/>
  <c r="BS15" i="6"/>
  <c r="BR15" i="6"/>
  <c r="BT14" i="6"/>
  <c r="BS14" i="6"/>
  <c r="BR14" i="6"/>
  <c r="BT13" i="6"/>
  <c r="BS13" i="6"/>
  <c r="BR13" i="6"/>
  <c r="D257" i="1" s="1"/>
  <c r="BT12" i="6"/>
  <c r="BS12" i="6"/>
  <c r="BR12" i="6"/>
  <c r="BT11" i="6"/>
  <c r="BS11" i="6"/>
  <c r="E201" i="1" s="1"/>
  <c r="BR11" i="6"/>
  <c r="BT10" i="6"/>
  <c r="BS10" i="6"/>
  <c r="BR10" i="6"/>
  <c r="BT9" i="6"/>
  <c r="BS9" i="6"/>
  <c r="BR9" i="6"/>
  <c r="BT8" i="6"/>
  <c r="F93" i="1" s="1"/>
  <c r="BS8" i="6"/>
  <c r="BR8" i="6"/>
  <c r="BT7" i="6"/>
  <c r="BS7" i="6"/>
  <c r="BR7" i="6"/>
  <c r="BT6" i="6"/>
  <c r="BS6" i="6"/>
  <c r="BR6" i="6"/>
  <c r="BT5" i="6"/>
  <c r="BS5" i="6"/>
  <c r="BR5" i="6"/>
  <c r="BR29" i="6" s="1"/>
  <c r="BN28" i="5"/>
  <c r="BM28" i="5"/>
  <c r="E673" i="1" s="1"/>
  <c r="BL28" i="5"/>
  <c r="BN27" i="5"/>
  <c r="BM27" i="5"/>
  <c r="E645" i="1" s="1"/>
  <c r="BL27" i="5"/>
  <c r="BN26" i="5"/>
  <c r="BM26" i="5"/>
  <c r="BL26" i="5"/>
  <c r="BN25" i="5"/>
  <c r="F590" i="1" s="1"/>
  <c r="BM25" i="5"/>
  <c r="BL25" i="5"/>
  <c r="BN24" i="5"/>
  <c r="F562" i="1" s="1"/>
  <c r="BM24" i="5"/>
  <c r="BL24" i="5"/>
  <c r="BN23" i="5"/>
  <c r="BM23" i="5"/>
  <c r="BL23" i="5"/>
  <c r="D534" i="1" s="1"/>
  <c r="BN22" i="5"/>
  <c r="BM22" i="5"/>
  <c r="BL22" i="5"/>
  <c r="D506" i="1" s="1"/>
  <c r="BN21" i="5"/>
  <c r="BM21" i="5"/>
  <c r="BL21" i="5"/>
  <c r="BN20" i="5"/>
  <c r="BM20" i="5"/>
  <c r="E450" i="1" s="1"/>
  <c r="BL20" i="5"/>
  <c r="BN19" i="5"/>
  <c r="BM19" i="5"/>
  <c r="E422" i="1" s="1"/>
  <c r="BL19" i="5"/>
  <c r="BN18" i="5"/>
  <c r="BM18" i="5"/>
  <c r="BL18" i="5"/>
  <c r="BN17" i="5"/>
  <c r="F366" i="1" s="1"/>
  <c r="BM17" i="5"/>
  <c r="BL17" i="5"/>
  <c r="BN16" i="5"/>
  <c r="F338" i="1" s="1"/>
  <c r="BM16" i="5"/>
  <c r="BL16" i="5"/>
  <c r="BN15" i="5"/>
  <c r="BM15" i="5"/>
  <c r="BL15" i="5"/>
  <c r="D310" i="1" s="1"/>
  <c r="BN14" i="5"/>
  <c r="BM14" i="5"/>
  <c r="BL14" i="5"/>
  <c r="D282" i="1" s="1"/>
  <c r="BN13" i="5"/>
  <c r="BM13" i="5"/>
  <c r="BL13" i="5"/>
  <c r="BN12" i="5"/>
  <c r="BM12" i="5"/>
  <c r="E226" i="1" s="1"/>
  <c r="BL12" i="5"/>
  <c r="BN11" i="5"/>
  <c r="BM11" i="5"/>
  <c r="E198" i="1" s="1"/>
  <c r="BL11" i="5"/>
  <c r="BN10" i="5"/>
  <c r="BM10" i="5"/>
  <c r="BL10" i="5"/>
  <c r="BN9" i="5"/>
  <c r="F142" i="1" s="1"/>
  <c r="BM9" i="5"/>
  <c r="BL9" i="5"/>
  <c r="BN8" i="5"/>
  <c r="F90" i="1" s="1"/>
  <c r="BM8" i="5"/>
  <c r="BL8" i="5"/>
  <c r="BN7" i="5"/>
  <c r="BM7" i="5"/>
  <c r="BL7" i="5"/>
  <c r="D62" i="1" s="1"/>
  <c r="BN6" i="5"/>
  <c r="BM6" i="5"/>
  <c r="BL6" i="5"/>
  <c r="D34" i="1" s="1"/>
  <c r="BN5" i="5"/>
  <c r="BM5" i="5"/>
  <c r="BL5" i="5"/>
  <c r="AR29" i="4"/>
  <c r="AS28" i="4"/>
  <c r="AR28" i="4"/>
  <c r="E675" i="1" s="1"/>
  <c r="AQ28" i="4"/>
  <c r="AS27" i="4"/>
  <c r="AR27" i="4"/>
  <c r="AQ27" i="4"/>
  <c r="AS26" i="4"/>
  <c r="F620" i="1" s="1"/>
  <c r="AR26" i="4"/>
  <c r="AQ26" i="4"/>
  <c r="AS25" i="4"/>
  <c r="F592" i="1" s="1"/>
  <c r="AR25" i="4"/>
  <c r="AQ25" i="4"/>
  <c r="AS24" i="4"/>
  <c r="AR24" i="4"/>
  <c r="AQ24" i="4"/>
  <c r="D564" i="1" s="1"/>
  <c r="AS23" i="4"/>
  <c r="AR23" i="4"/>
  <c r="AQ23" i="4"/>
  <c r="D536" i="1" s="1"/>
  <c r="AS22" i="4"/>
  <c r="AR22" i="4"/>
  <c r="AQ22" i="4"/>
  <c r="AS21" i="4"/>
  <c r="AR21" i="4"/>
  <c r="E480" i="1" s="1"/>
  <c r="AQ21" i="4"/>
  <c r="AS20" i="4"/>
  <c r="AR20" i="4"/>
  <c r="E452" i="1" s="1"/>
  <c r="AQ20" i="4"/>
  <c r="AS19" i="4"/>
  <c r="AR19" i="4"/>
  <c r="AQ19" i="4"/>
  <c r="AS18" i="4"/>
  <c r="F396" i="1" s="1"/>
  <c r="AR18" i="4"/>
  <c r="AQ18" i="4"/>
  <c r="AS17" i="4"/>
  <c r="F368" i="1" s="1"/>
  <c r="AR17" i="4"/>
  <c r="AQ17" i="4"/>
  <c r="AS16" i="4"/>
  <c r="AR16" i="4"/>
  <c r="AQ16" i="4"/>
  <c r="AS15" i="4"/>
  <c r="AR15" i="4"/>
  <c r="AQ15" i="4"/>
  <c r="D312" i="1" s="1"/>
  <c r="AS14" i="4"/>
  <c r="AR14" i="4"/>
  <c r="AQ14" i="4"/>
  <c r="AS13" i="4"/>
  <c r="AR13" i="4"/>
  <c r="E256" i="1" s="1"/>
  <c r="AQ13" i="4"/>
  <c r="AS12" i="4"/>
  <c r="AR12" i="4"/>
  <c r="E228" i="1" s="1"/>
  <c r="AQ12" i="4"/>
  <c r="AS11" i="4"/>
  <c r="AR11" i="4"/>
  <c r="AQ11" i="4"/>
  <c r="AS10" i="4"/>
  <c r="F172" i="1" s="1"/>
  <c r="AR10" i="4"/>
  <c r="AQ10" i="4"/>
  <c r="AS9" i="4"/>
  <c r="AR9" i="4"/>
  <c r="AQ9" i="4"/>
  <c r="AS8" i="4"/>
  <c r="AR8" i="4"/>
  <c r="AQ8" i="4"/>
  <c r="AS7" i="4"/>
  <c r="AR7" i="4"/>
  <c r="AQ7" i="4"/>
  <c r="D64" i="1" s="1"/>
  <c r="AS6" i="4"/>
  <c r="AR6" i="4"/>
  <c r="AQ6" i="4"/>
  <c r="AS5" i="4"/>
  <c r="AR5" i="4"/>
  <c r="AQ5" i="4"/>
  <c r="AO29" i="3"/>
  <c r="AP28" i="3"/>
  <c r="AO28" i="3"/>
  <c r="AN28" i="3"/>
  <c r="AP27" i="3"/>
  <c r="F644" i="1" s="1"/>
  <c r="AO27" i="3"/>
  <c r="AN27" i="3"/>
  <c r="AP26" i="3"/>
  <c r="F617" i="1" s="1"/>
  <c r="AO26" i="3"/>
  <c r="AN26" i="3"/>
  <c r="AP25" i="3"/>
  <c r="AO25" i="3"/>
  <c r="AN25" i="3"/>
  <c r="D589" i="1" s="1"/>
  <c r="AP24" i="3"/>
  <c r="AO24" i="3"/>
  <c r="AN24" i="3"/>
  <c r="AP23" i="3"/>
  <c r="AO23" i="3"/>
  <c r="AN23" i="3"/>
  <c r="AP22" i="3"/>
  <c r="AO22" i="3"/>
  <c r="E505" i="1" s="1"/>
  <c r="AN22" i="3"/>
  <c r="AP21" i="3"/>
  <c r="AO21" i="3"/>
  <c r="E477" i="1" s="1"/>
  <c r="AN21" i="3"/>
  <c r="AP20" i="3"/>
  <c r="AO20" i="3"/>
  <c r="AN20" i="3"/>
  <c r="AP19" i="3"/>
  <c r="F421" i="1" s="1"/>
  <c r="AO19" i="3"/>
  <c r="AN19" i="3"/>
  <c r="AP18" i="3"/>
  <c r="F393" i="1" s="1"/>
  <c r="AO18" i="3"/>
  <c r="AN18" i="3"/>
  <c r="AP17" i="3"/>
  <c r="AO17" i="3"/>
  <c r="AN17" i="3"/>
  <c r="D365" i="1" s="1"/>
  <c r="AP16" i="3"/>
  <c r="AO16" i="3"/>
  <c r="AN16" i="3"/>
  <c r="AP15" i="3"/>
  <c r="AO15" i="3"/>
  <c r="AN15" i="3"/>
  <c r="AP14" i="3"/>
  <c r="AO14" i="3"/>
  <c r="E281" i="1" s="1"/>
  <c r="AN14" i="3"/>
  <c r="AP13" i="3"/>
  <c r="AO13" i="3"/>
  <c r="E253" i="1" s="1"/>
  <c r="AN13" i="3"/>
  <c r="AP12" i="3"/>
  <c r="AO12" i="3"/>
  <c r="AN12" i="3"/>
  <c r="AP11" i="3"/>
  <c r="AO11" i="3"/>
  <c r="AN11" i="3"/>
  <c r="AP10" i="3"/>
  <c r="F169" i="1" s="1"/>
  <c r="AO10" i="3"/>
  <c r="AN10" i="3"/>
  <c r="AP9" i="3"/>
  <c r="AO9" i="3"/>
  <c r="AN9" i="3"/>
  <c r="AP8" i="3"/>
  <c r="AO8" i="3"/>
  <c r="AN8" i="3"/>
  <c r="AP7" i="3"/>
  <c r="AO7" i="3"/>
  <c r="AN7" i="3"/>
  <c r="AP6" i="3"/>
  <c r="AO6" i="3"/>
  <c r="E33" i="1" s="1"/>
  <c r="AN6" i="3"/>
  <c r="AP5" i="3"/>
  <c r="AO5" i="3"/>
  <c r="AN5" i="3"/>
  <c r="AN29" i="3" s="1"/>
  <c r="AF28" i="2"/>
  <c r="F674" i="1" s="1"/>
  <c r="AE28" i="2"/>
  <c r="AD28" i="2"/>
  <c r="AF27" i="2"/>
  <c r="AE27" i="2"/>
  <c r="AD27" i="2"/>
  <c r="AF26" i="2"/>
  <c r="AE26" i="2"/>
  <c r="AD26" i="2"/>
  <c r="D619" i="1" s="1"/>
  <c r="AF25" i="2"/>
  <c r="AE25" i="2"/>
  <c r="AD25" i="2"/>
  <c r="D591" i="1" s="1"/>
  <c r="AF24" i="2"/>
  <c r="AE24" i="2"/>
  <c r="AD24" i="2"/>
  <c r="AF23" i="2"/>
  <c r="AE23" i="2"/>
  <c r="E535" i="1" s="1"/>
  <c r="AD23" i="2"/>
  <c r="AF22" i="2"/>
  <c r="AE22" i="2"/>
  <c r="E507" i="1" s="1"/>
  <c r="AD22" i="2"/>
  <c r="AF21" i="2"/>
  <c r="AE21" i="2"/>
  <c r="AD21" i="2"/>
  <c r="AF20" i="2"/>
  <c r="F451" i="1" s="1"/>
  <c r="AE20" i="2"/>
  <c r="AD20" i="2"/>
  <c r="AF19" i="2"/>
  <c r="AE19" i="2"/>
  <c r="AD19" i="2"/>
  <c r="AF18" i="2"/>
  <c r="AE18" i="2"/>
  <c r="AD18" i="2"/>
  <c r="D395" i="1" s="1"/>
  <c r="AF17" i="2"/>
  <c r="AE17" i="2"/>
  <c r="AD17" i="2"/>
  <c r="D367" i="1" s="1"/>
  <c r="AF16" i="2"/>
  <c r="AE16" i="2"/>
  <c r="AD16" i="2"/>
  <c r="AF15" i="2"/>
  <c r="AE15" i="2"/>
  <c r="E311" i="1" s="1"/>
  <c r="AD15" i="2"/>
  <c r="AF14" i="2"/>
  <c r="AE14" i="2"/>
  <c r="E283" i="1" s="1"/>
  <c r="AD14" i="2"/>
  <c r="AF13" i="2"/>
  <c r="AE13" i="2"/>
  <c r="AD13" i="2"/>
  <c r="AF12" i="2"/>
  <c r="F227" i="1" s="1"/>
  <c r="AE12" i="2"/>
  <c r="AD12" i="2"/>
  <c r="AF11" i="2"/>
  <c r="AE11" i="2"/>
  <c r="AD11" i="2"/>
  <c r="AF10" i="2"/>
  <c r="AE10" i="2"/>
  <c r="AD10" i="2"/>
  <c r="D171" i="1" s="1"/>
  <c r="AF9" i="2"/>
  <c r="AE9" i="2"/>
  <c r="AD9" i="2"/>
  <c r="D143" i="1" s="1"/>
  <c r="AF8" i="2"/>
  <c r="AE8" i="2"/>
  <c r="AD8" i="2"/>
  <c r="AF7" i="2"/>
  <c r="AE7" i="2"/>
  <c r="AD7" i="2"/>
  <c r="AF6" i="2"/>
  <c r="AE6" i="2"/>
  <c r="AD6" i="2"/>
  <c r="AF5" i="2"/>
  <c r="AE5" i="2"/>
  <c r="AE29" i="2" s="1"/>
  <c r="AD5" i="2"/>
  <c r="AD29" i="2" s="1"/>
  <c r="F692" i="1"/>
  <c r="E692" i="1"/>
  <c r="F690" i="1"/>
  <c r="E690" i="1"/>
  <c r="F689" i="1"/>
  <c r="E689" i="1"/>
  <c r="D689" i="1"/>
  <c r="F688" i="1"/>
  <c r="D688" i="1"/>
  <c r="F687" i="1"/>
  <c r="E687" i="1"/>
  <c r="F686" i="1"/>
  <c r="E686" i="1"/>
  <c r="F685" i="1"/>
  <c r="E685" i="1"/>
  <c r="D685" i="1"/>
  <c r="C685" i="1"/>
  <c r="F684" i="1"/>
  <c r="E684" i="1"/>
  <c r="D684" i="1"/>
  <c r="C684" i="1"/>
  <c r="F683" i="1"/>
  <c r="D683" i="1"/>
  <c r="C683" i="1"/>
  <c r="F682" i="1"/>
  <c r="E682" i="1"/>
  <c r="D682" i="1"/>
  <c r="C682" i="1"/>
  <c r="F681" i="1"/>
  <c r="E681" i="1"/>
  <c r="D681" i="1"/>
  <c r="C681" i="1"/>
  <c r="F680" i="1"/>
  <c r="E680" i="1"/>
  <c r="D680" i="1"/>
  <c r="C680" i="1"/>
  <c r="F679" i="1"/>
  <c r="E679" i="1"/>
  <c r="D679" i="1"/>
  <c r="C679" i="1"/>
  <c r="F678" i="1"/>
  <c r="E678" i="1"/>
  <c r="C678" i="1"/>
  <c r="F677" i="1"/>
  <c r="E677" i="1"/>
  <c r="D677" i="1"/>
  <c r="C677" i="1"/>
  <c r="F676" i="1"/>
  <c r="E676" i="1"/>
  <c r="D676" i="1"/>
  <c r="C676" i="1"/>
  <c r="F675" i="1"/>
  <c r="D675" i="1"/>
  <c r="C675" i="1"/>
  <c r="E674" i="1"/>
  <c r="D674" i="1"/>
  <c r="C674" i="1"/>
  <c r="F673" i="1"/>
  <c r="D673" i="1"/>
  <c r="F672" i="1"/>
  <c r="E672" i="1"/>
  <c r="D672" i="1"/>
  <c r="A670" i="1"/>
  <c r="A669" i="1"/>
  <c r="F664" i="1"/>
  <c r="E664" i="1"/>
  <c r="D664" i="1"/>
  <c r="F662" i="1"/>
  <c r="E662" i="1"/>
  <c r="D662" i="1"/>
  <c r="F661" i="1"/>
  <c r="D661" i="1"/>
  <c r="F660" i="1"/>
  <c r="D660" i="1"/>
  <c r="F659" i="1"/>
  <c r="E659" i="1"/>
  <c r="D659" i="1"/>
  <c r="F658" i="1"/>
  <c r="E658" i="1"/>
  <c r="D658" i="1"/>
  <c r="F657" i="1"/>
  <c r="E657" i="1"/>
  <c r="C657" i="1"/>
  <c r="F656" i="1"/>
  <c r="D656" i="1"/>
  <c r="C656" i="1"/>
  <c r="F655" i="1"/>
  <c r="D655" i="1"/>
  <c r="C655" i="1"/>
  <c r="F654" i="1"/>
  <c r="D654" i="1"/>
  <c r="C654" i="1"/>
  <c r="F653" i="1"/>
  <c r="D653" i="1"/>
  <c r="C653" i="1"/>
  <c r="F652" i="1"/>
  <c r="D652" i="1"/>
  <c r="C652" i="1"/>
  <c r="F651" i="1"/>
  <c r="E651" i="1"/>
  <c r="C651" i="1"/>
  <c r="F650" i="1"/>
  <c r="E650" i="1"/>
  <c r="D650" i="1"/>
  <c r="C650" i="1"/>
  <c r="F649" i="1"/>
  <c r="D649" i="1"/>
  <c r="C649" i="1"/>
  <c r="F648" i="1"/>
  <c r="D648" i="1"/>
  <c r="C648" i="1"/>
  <c r="F647" i="1"/>
  <c r="E647" i="1"/>
  <c r="D647" i="1"/>
  <c r="C647" i="1"/>
  <c r="F646" i="1"/>
  <c r="E646" i="1"/>
  <c r="D646" i="1"/>
  <c r="C646" i="1"/>
  <c r="F645" i="1"/>
  <c r="D645" i="1"/>
  <c r="E644" i="1"/>
  <c r="D644" i="1"/>
  <c r="A642" i="1"/>
  <c r="A641" i="1"/>
  <c r="F636" i="1"/>
  <c r="D636" i="1"/>
  <c r="F635" i="1"/>
  <c r="D635" i="1"/>
  <c r="F634" i="1"/>
  <c r="D634" i="1"/>
  <c r="F633" i="1"/>
  <c r="E633" i="1"/>
  <c r="D633" i="1"/>
  <c r="F632" i="1"/>
  <c r="E632" i="1"/>
  <c r="D632" i="1"/>
  <c r="F631" i="1"/>
  <c r="E631" i="1"/>
  <c r="D631" i="1"/>
  <c r="F630" i="1"/>
  <c r="E630" i="1"/>
  <c r="D630" i="1"/>
  <c r="C630" i="1"/>
  <c r="F629" i="1"/>
  <c r="D629" i="1"/>
  <c r="C629" i="1"/>
  <c r="F628" i="1"/>
  <c r="E628" i="1"/>
  <c r="D628" i="1"/>
  <c r="C628" i="1"/>
  <c r="F627" i="1"/>
  <c r="E627" i="1"/>
  <c r="D627" i="1"/>
  <c r="C627" i="1"/>
  <c r="F626" i="1"/>
  <c r="E626" i="1"/>
  <c r="D626" i="1"/>
  <c r="C626" i="1"/>
  <c r="F625" i="1"/>
  <c r="E625" i="1"/>
  <c r="D625" i="1"/>
  <c r="C625" i="1"/>
  <c r="F624" i="1"/>
  <c r="E624" i="1"/>
  <c r="D624" i="1"/>
  <c r="C624" i="1"/>
  <c r="F623" i="1"/>
  <c r="D623" i="1"/>
  <c r="C623" i="1"/>
  <c r="F622" i="1"/>
  <c r="D622" i="1"/>
  <c r="C622" i="1"/>
  <c r="F621" i="1"/>
  <c r="D621" i="1"/>
  <c r="C621" i="1"/>
  <c r="E620" i="1"/>
  <c r="D620" i="1"/>
  <c r="C620" i="1"/>
  <c r="F619" i="1"/>
  <c r="E619" i="1"/>
  <c r="C619" i="1"/>
  <c r="F618" i="1"/>
  <c r="E618" i="1"/>
  <c r="D618" i="1"/>
  <c r="E617" i="1"/>
  <c r="D617" i="1"/>
  <c r="A615" i="1"/>
  <c r="A614" i="1"/>
  <c r="F609" i="1"/>
  <c r="D609" i="1"/>
  <c r="F607" i="1"/>
  <c r="D607" i="1"/>
  <c r="F606" i="1"/>
  <c r="E606" i="1"/>
  <c r="D606" i="1"/>
  <c r="E605" i="1"/>
  <c r="D605" i="1"/>
  <c r="F604" i="1"/>
  <c r="E604" i="1"/>
  <c r="D604" i="1"/>
  <c r="F603" i="1"/>
  <c r="D603" i="1"/>
  <c r="F602" i="1"/>
  <c r="D602" i="1"/>
  <c r="C602" i="1"/>
  <c r="F601" i="1"/>
  <c r="E601" i="1"/>
  <c r="D601" i="1"/>
  <c r="C601" i="1"/>
  <c r="E600" i="1"/>
  <c r="D600" i="1"/>
  <c r="C600" i="1"/>
  <c r="E599" i="1"/>
  <c r="D599" i="1"/>
  <c r="C599" i="1"/>
  <c r="F598" i="1"/>
  <c r="E598" i="1"/>
  <c r="D598" i="1"/>
  <c r="C598" i="1"/>
  <c r="E597" i="1"/>
  <c r="D597" i="1"/>
  <c r="C597" i="1"/>
  <c r="F596" i="1"/>
  <c r="D596" i="1"/>
  <c r="C596" i="1"/>
  <c r="F595" i="1"/>
  <c r="D595" i="1"/>
  <c r="C595" i="1"/>
  <c r="F594" i="1"/>
  <c r="E594" i="1"/>
  <c r="D594" i="1"/>
  <c r="C594" i="1"/>
  <c r="F593" i="1"/>
  <c r="E593" i="1"/>
  <c r="D593" i="1"/>
  <c r="C593" i="1"/>
  <c r="E592" i="1"/>
  <c r="D592" i="1"/>
  <c r="C592" i="1"/>
  <c r="F591" i="1"/>
  <c r="E591" i="1"/>
  <c r="C591" i="1"/>
  <c r="E590" i="1"/>
  <c r="D590" i="1"/>
  <c r="F589" i="1"/>
  <c r="E589" i="1"/>
  <c r="A587" i="1"/>
  <c r="A586" i="1"/>
  <c r="F581" i="1"/>
  <c r="E581" i="1"/>
  <c r="D581" i="1"/>
  <c r="F579" i="1"/>
  <c r="E579" i="1"/>
  <c r="D579" i="1"/>
  <c r="E578" i="1"/>
  <c r="D578" i="1"/>
  <c r="E577" i="1"/>
  <c r="D577" i="1"/>
  <c r="F576" i="1"/>
  <c r="D576" i="1"/>
  <c r="F575" i="1"/>
  <c r="E575" i="1"/>
  <c r="D575" i="1"/>
  <c r="F574" i="1"/>
  <c r="D574" i="1"/>
  <c r="C574" i="1"/>
  <c r="E573" i="1"/>
  <c r="D573" i="1"/>
  <c r="C573" i="1"/>
  <c r="E572" i="1"/>
  <c r="D572" i="1"/>
  <c r="C572" i="1"/>
  <c r="E571" i="1"/>
  <c r="D571" i="1"/>
  <c r="C571" i="1"/>
  <c r="E570" i="1"/>
  <c r="D570" i="1"/>
  <c r="C570" i="1"/>
  <c r="E569" i="1"/>
  <c r="D569" i="1"/>
  <c r="C569" i="1"/>
  <c r="F568" i="1"/>
  <c r="D568" i="1"/>
  <c r="C568" i="1"/>
  <c r="F567" i="1"/>
  <c r="E567" i="1"/>
  <c r="D567" i="1"/>
  <c r="C567" i="1"/>
  <c r="E566" i="1"/>
  <c r="D566" i="1"/>
  <c r="C566" i="1"/>
  <c r="E565" i="1"/>
  <c r="D565" i="1"/>
  <c r="C565" i="1"/>
  <c r="F564" i="1"/>
  <c r="E564" i="1"/>
  <c r="C564" i="1"/>
  <c r="F563" i="1"/>
  <c r="E563" i="1"/>
  <c r="D563" i="1"/>
  <c r="C563" i="1"/>
  <c r="E562" i="1"/>
  <c r="D562" i="1"/>
  <c r="F561" i="1"/>
  <c r="E561" i="1"/>
  <c r="D561" i="1"/>
  <c r="A559" i="1"/>
  <c r="A558" i="1"/>
  <c r="E553" i="1"/>
  <c r="D553" i="1"/>
  <c r="E551" i="1"/>
  <c r="D551" i="1"/>
  <c r="F550" i="1"/>
  <c r="E550" i="1"/>
  <c r="D550" i="1"/>
  <c r="F549" i="1"/>
  <c r="E549" i="1"/>
  <c r="F548" i="1"/>
  <c r="E548" i="1"/>
  <c r="D548" i="1"/>
  <c r="E547" i="1"/>
  <c r="D547" i="1"/>
  <c r="F546" i="1"/>
  <c r="E546" i="1"/>
  <c r="D546" i="1"/>
  <c r="C546" i="1"/>
  <c r="F545" i="1"/>
  <c r="E545" i="1"/>
  <c r="D545" i="1"/>
  <c r="C545" i="1"/>
  <c r="F544" i="1"/>
  <c r="E544" i="1"/>
  <c r="C544" i="1"/>
  <c r="F543" i="1"/>
  <c r="E543" i="1"/>
  <c r="C543" i="1"/>
  <c r="E542" i="1"/>
  <c r="D542" i="1"/>
  <c r="C542" i="1"/>
  <c r="F541" i="1"/>
  <c r="E541" i="1"/>
  <c r="C541" i="1"/>
  <c r="F540" i="1"/>
  <c r="E540" i="1"/>
  <c r="D540" i="1"/>
  <c r="C540" i="1"/>
  <c r="E539" i="1"/>
  <c r="D539" i="1"/>
  <c r="C539" i="1"/>
  <c r="E538" i="1"/>
  <c r="D538" i="1"/>
  <c r="C538" i="1"/>
  <c r="F537" i="1"/>
  <c r="E537" i="1"/>
  <c r="D537" i="1"/>
  <c r="C537" i="1"/>
  <c r="F536" i="1"/>
  <c r="E536" i="1"/>
  <c r="C536" i="1"/>
  <c r="F535" i="1"/>
  <c r="D535" i="1"/>
  <c r="C535" i="1"/>
  <c r="F534" i="1"/>
  <c r="E534" i="1"/>
  <c r="F533" i="1"/>
  <c r="E533" i="1"/>
  <c r="D533" i="1"/>
  <c r="A531" i="1"/>
  <c r="A530" i="1"/>
  <c r="F525" i="1"/>
  <c r="E525" i="1"/>
  <c r="D525" i="1"/>
  <c r="F523" i="1"/>
  <c r="E523" i="1"/>
  <c r="D523" i="1"/>
  <c r="F522" i="1"/>
  <c r="E522" i="1"/>
  <c r="D522" i="1"/>
  <c r="F521" i="1"/>
  <c r="E521" i="1"/>
  <c r="D521" i="1"/>
  <c r="E520" i="1"/>
  <c r="D520" i="1"/>
  <c r="E519" i="1"/>
  <c r="D519" i="1"/>
  <c r="E518" i="1"/>
  <c r="D518" i="1"/>
  <c r="C518" i="1"/>
  <c r="F517" i="1"/>
  <c r="E517" i="1"/>
  <c r="D517" i="1"/>
  <c r="C517" i="1"/>
  <c r="F516" i="1"/>
  <c r="E516" i="1"/>
  <c r="C516" i="1"/>
  <c r="F515" i="1"/>
  <c r="E515" i="1"/>
  <c r="C515" i="1"/>
  <c r="F514" i="1"/>
  <c r="E514" i="1"/>
  <c r="C514" i="1"/>
  <c r="F513" i="1"/>
  <c r="E513" i="1"/>
  <c r="D513" i="1"/>
  <c r="C513" i="1"/>
  <c r="E512" i="1"/>
  <c r="D512" i="1"/>
  <c r="C512" i="1"/>
  <c r="E511" i="1"/>
  <c r="D511" i="1"/>
  <c r="C511" i="1"/>
  <c r="F510" i="1"/>
  <c r="E510" i="1"/>
  <c r="C510" i="1"/>
  <c r="F509" i="1"/>
  <c r="E509" i="1"/>
  <c r="D509" i="1"/>
  <c r="C509" i="1"/>
  <c r="F508" i="1"/>
  <c r="E508" i="1"/>
  <c r="D508" i="1"/>
  <c r="C508" i="1"/>
  <c r="F507" i="1"/>
  <c r="D507" i="1"/>
  <c r="C507" i="1"/>
  <c r="F506" i="1"/>
  <c r="E506" i="1"/>
  <c r="F505" i="1"/>
  <c r="D505" i="1"/>
  <c r="A503" i="1"/>
  <c r="A502" i="1"/>
  <c r="F497" i="1"/>
  <c r="E497" i="1"/>
  <c r="D497" i="1"/>
  <c r="F495" i="1"/>
  <c r="E495" i="1"/>
  <c r="F494" i="1"/>
  <c r="E494" i="1"/>
  <c r="F493" i="1"/>
  <c r="E493" i="1"/>
  <c r="D493" i="1"/>
  <c r="E492" i="1"/>
  <c r="D492" i="1"/>
  <c r="F491" i="1"/>
  <c r="E491" i="1"/>
  <c r="F490" i="1"/>
  <c r="E490" i="1"/>
  <c r="D490" i="1"/>
  <c r="C490" i="1"/>
  <c r="F489" i="1"/>
  <c r="E489" i="1"/>
  <c r="C489" i="1"/>
  <c r="F488" i="1"/>
  <c r="E488" i="1"/>
  <c r="D488" i="1"/>
  <c r="C488" i="1"/>
  <c r="F487" i="1"/>
  <c r="E487" i="1"/>
  <c r="D487" i="1"/>
  <c r="C487" i="1"/>
  <c r="F486" i="1"/>
  <c r="E486" i="1"/>
  <c r="C486" i="1"/>
  <c r="F485" i="1"/>
  <c r="E485" i="1"/>
  <c r="D485" i="1"/>
  <c r="C485" i="1"/>
  <c r="F484" i="1"/>
  <c r="E484" i="1"/>
  <c r="D484" i="1"/>
  <c r="C484" i="1"/>
  <c r="F483" i="1"/>
  <c r="E483" i="1"/>
  <c r="C483" i="1"/>
  <c r="F482" i="1"/>
  <c r="E482" i="1"/>
  <c r="C482" i="1"/>
  <c r="F481" i="1"/>
  <c r="E481" i="1"/>
  <c r="C481" i="1"/>
  <c r="F480" i="1"/>
  <c r="D480" i="1"/>
  <c r="C480" i="1"/>
  <c r="F479" i="1"/>
  <c r="E479" i="1"/>
  <c r="D479" i="1"/>
  <c r="C479" i="1"/>
  <c r="F478" i="1"/>
  <c r="E478" i="1"/>
  <c r="D478" i="1"/>
  <c r="F477" i="1"/>
  <c r="D477" i="1"/>
  <c r="A475" i="1"/>
  <c r="A474" i="1"/>
  <c r="F469" i="1"/>
  <c r="E469" i="1"/>
  <c r="F467" i="1"/>
  <c r="E467" i="1"/>
  <c r="F466" i="1"/>
  <c r="E466" i="1"/>
  <c r="D466" i="1"/>
  <c r="F465" i="1"/>
  <c r="D465" i="1"/>
  <c r="F464" i="1"/>
  <c r="E464" i="1"/>
  <c r="F463" i="1"/>
  <c r="E463" i="1"/>
  <c r="F462" i="1"/>
  <c r="E462" i="1"/>
  <c r="D462" i="1"/>
  <c r="C462" i="1"/>
  <c r="F461" i="1"/>
  <c r="E461" i="1"/>
  <c r="D461" i="1"/>
  <c r="C461" i="1"/>
  <c r="F460" i="1"/>
  <c r="D460" i="1"/>
  <c r="C460" i="1"/>
  <c r="F459" i="1"/>
  <c r="E459" i="1"/>
  <c r="D459" i="1"/>
  <c r="C459" i="1"/>
  <c r="F458" i="1"/>
  <c r="E458" i="1"/>
  <c r="D458" i="1"/>
  <c r="C458" i="1"/>
  <c r="F457" i="1"/>
  <c r="E457" i="1"/>
  <c r="D457" i="1"/>
  <c r="C457" i="1"/>
  <c r="F456" i="1"/>
  <c r="E456" i="1"/>
  <c r="D456" i="1"/>
  <c r="C456" i="1"/>
  <c r="F455" i="1"/>
  <c r="E455" i="1"/>
  <c r="C455" i="1"/>
  <c r="F454" i="1"/>
  <c r="E454" i="1"/>
  <c r="D454" i="1"/>
  <c r="C454" i="1"/>
  <c r="F453" i="1"/>
  <c r="E453" i="1"/>
  <c r="D453" i="1"/>
  <c r="C453" i="1"/>
  <c r="F452" i="1"/>
  <c r="D452" i="1"/>
  <c r="C452" i="1"/>
  <c r="E451" i="1"/>
  <c r="D451" i="1"/>
  <c r="C451" i="1"/>
  <c r="F450" i="1"/>
  <c r="D450" i="1"/>
  <c r="F449" i="1"/>
  <c r="E449" i="1"/>
  <c r="D449" i="1"/>
  <c r="A447" i="1"/>
  <c r="A446" i="1"/>
  <c r="F441" i="1"/>
  <c r="E441" i="1"/>
  <c r="D441" i="1"/>
  <c r="F439" i="1"/>
  <c r="E439" i="1"/>
  <c r="D439" i="1"/>
  <c r="F438" i="1"/>
  <c r="D438" i="1"/>
  <c r="F437" i="1"/>
  <c r="D437" i="1"/>
  <c r="F436" i="1"/>
  <c r="E436" i="1"/>
  <c r="D436" i="1"/>
  <c r="F435" i="1"/>
  <c r="E435" i="1"/>
  <c r="D435" i="1"/>
  <c r="F434" i="1"/>
  <c r="E434" i="1"/>
  <c r="C434" i="1"/>
  <c r="F433" i="1"/>
  <c r="D433" i="1"/>
  <c r="C433" i="1"/>
  <c r="F432" i="1"/>
  <c r="D432" i="1"/>
  <c r="C432" i="1"/>
  <c r="F431" i="1"/>
  <c r="D431" i="1"/>
  <c r="C431" i="1"/>
  <c r="F430" i="1"/>
  <c r="D430" i="1"/>
  <c r="C430" i="1"/>
  <c r="F429" i="1"/>
  <c r="D429" i="1"/>
  <c r="C429" i="1"/>
  <c r="F428" i="1"/>
  <c r="E428" i="1"/>
  <c r="C428" i="1"/>
  <c r="F427" i="1"/>
  <c r="E427" i="1"/>
  <c r="D427" i="1"/>
  <c r="C427" i="1"/>
  <c r="F426" i="1"/>
  <c r="E426" i="1"/>
  <c r="D426" i="1"/>
  <c r="C426" i="1"/>
  <c r="F425" i="1"/>
  <c r="D425" i="1"/>
  <c r="C425" i="1"/>
  <c r="F424" i="1"/>
  <c r="E424" i="1"/>
  <c r="D424" i="1"/>
  <c r="C424" i="1"/>
  <c r="F423" i="1"/>
  <c r="E423" i="1"/>
  <c r="D423" i="1"/>
  <c r="C423" i="1"/>
  <c r="F422" i="1"/>
  <c r="D422" i="1"/>
  <c r="E421" i="1"/>
  <c r="D421" i="1"/>
  <c r="A419" i="1"/>
  <c r="A418" i="1"/>
  <c r="F413" i="1"/>
  <c r="D413" i="1"/>
  <c r="F411" i="1"/>
  <c r="D411" i="1"/>
  <c r="F410" i="1"/>
  <c r="D410" i="1"/>
  <c r="F409" i="1"/>
  <c r="E409" i="1"/>
  <c r="D409" i="1"/>
  <c r="F408" i="1"/>
  <c r="E408" i="1"/>
  <c r="D408" i="1"/>
  <c r="F407" i="1"/>
  <c r="E407" i="1"/>
  <c r="D407" i="1"/>
  <c r="F406" i="1"/>
  <c r="E406" i="1"/>
  <c r="D406" i="1"/>
  <c r="C406" i="1"/>
  <c r="F405" i="1"/>
  <c r="D405" i="1"/>
  <c r="C405" i="1"/>
  <c r="F404" i="1"/>
  <c r="E404" i="1"/>
  <c r="D404" i="1"/>
  <c r="C404" i="1"/>
  <c r="F403" i="1"/>
  <c r="E403" i="1"/>
  <c r="D403" i="1"/>
  <c r="C403" i="1"/>
  <c r="F402" i="1"/>
  <c r="E402" i="1"/>
  <c r="D402" i="1"/>
  <c r="C402" i="1"/>
  <c r="F401" i="1"/>
  <c r="E401" i="1"/>
  <c r="D401" i="1"/>
  <c r="C401" i="1"/>
  <c r="F400" i="1"/>
  <c r="E400" i="1"/>
  <c r="D400" i="1"/>
  <c r="C400" i="1"/>
  <c r="F399" i="1"/>
  <c r="D399" i="1"/>
  <c r="C399" i="1"/>
  <c r="F398" i="1"/>
  <c r="E398" i="1"/>
  <c r="D398" i="1"/>
  <c r="C398" i="1"/>
  <c r="F397" i="1"/>
  <c r="D397" i="1"/>
  <c r="C397" i="1"/>
  <c r="E396" i="1"/>
  <c r="D396" i="1"/>
  <c r="C396" i="1"/>
  <c r="F395" i="1"/>
  <c r="E395" i="1"/>
  <c r="C395" i="1"/>
  <c r="F394" i="1"/>
  <c r="E394" i="1"/>
  <c r="D394" i="1"/>
  <c r="E393" i="1"/>
  <c r="D393" i="1"/>
  <c r="A391" i="1"/>
  <c r="A390" i="1"/>
  <c r="F385" i="1"/>
  <c r="D385" i="1"/>
  <c r="F383" i="1"/>
  <c r="D383" i="1"/>
  <c r="F382" i="1"/>
  <c r="E382" i="1"/>
  <c r="D382" i="1"/>
  <c r="E381" i="1"/>
  <c r="D381" i="1"/>
  <c r="F380" i="1"/>
  <c r="E380" i="1"/>
  <c r="D380" i="1"/>
  <c r="F379" i="1"/>
  <c r="D379" i="1"/>
  <c r="F378" i="1"/>
  <c r="D378" i="1"/>
  <c r="C378" i="1"/>
  <c r="F377" i="1"/>
  <c r="E377" i="1"/>
  <c r="D377" i="1"/>
  <c r="C377" i="1"/>
  <c r="E376" i="1"/>
  <c r="D376" i="1"/>
  <c r="C376" i="1"/>
  <c r="E375" i="1"/>
  <c r="D375" i="1"/>
  <c r="C375" i="1"/>
  <c r="F374" i="1"/>
  <c r="E374" i="1"/>
  <c r="D374" i="1"/>
  <c r="C374" i="1"/>
  <c r="E373" i="1"/>
  <c r="D373" i="1"/>
  <c r="C373" i="1"/>
  <c r="F372" i="1"/>
  <c r="D372" i="1"/>
  <c r="C372" i="1"/>
  <c r="F371" i="1"/>
  <c r="D371" i="1"/>
  <c r="C371" i="1"/>
  <c r="F370" i="1"/>
  <c r="D370" i="1"/>
  <c r="C370" i="1"/>
  <c r="F369" i="1"/>
  <c r="E369" i="1"/>
  <c r="D369" i="1"/>
  <c r="C369" i="1"/>
  <c r="E368" i="1"/>
  <c r="D368" i="1"/>
  <c r="C368" i="1"/>
  <c r="F367" i="1"/>
  <c r="E367" i="1"/>
  <c r="C367" i="1"/>
  <c r="E366" i="1"/>
  <c r="D366" i="1"/>
  <c r="F365" i="1"/>
  <c r="E365" i="1"/>
  <c r="A363" i="1"/>
  <c r="A362" i="1"/>
  <c r="F357" i="1"/>
  <c r="E357" i="1"/>
  <c r="D357" i="1"/>
  <c r="F355" i="1"/>
  <c r="E355" i="1"/>
  <c r="D355" i="1"/>
  <c r="E354" i="1"/>
  <c r="D354" i="1"/>
  <c r="E353" i="1"/>
  <c r="D353" i="1"/>
  <c r="F352" i="1"/>
  <c r="D352" i="1"/>
  <c r="F351" i="1"/>
  <c r="E351" i="1"/>
  <c r="D351" i="1"/>
  <c r="F350" i="1"/>
  <c r="D350" i="1"/>
  <c r="C350" i="1"/>
  <c r="E349" i="1"/>
  <c r="D349" i="1"/>
  <c r="C349" i="1"/>
  <c r="E348" i="1"/>
  <c r="D348" i="1"/>
  <c r="C348" i="1"/>
  <c r="E347" i="1"/>
  <c r="D347" i="1"/>
  <c r="C347" i="1"/>
  <c r="E346" i="1"/>
  <c r="D346" i="1"/>
  <c r="C346" i="1"/>
  <c r="E345" i="1"/>
  <c r="D345" i="1"/>
  <c r="C345" i="1"/>
  <c r="F344" i="1"/>
  <c r="D344" i="1"/>
  <c r="C344" i="1"/>
  <c r="F343" i="1"/>
  <c r="E343" i="1"/>
  <c r="D343" i="1"/>
  <c r="C343" i="1"/>
  <c r="F342" i="1"/>
  <c r="E342" i="1"/>
  <c r="D342" i="1"/>
  <c r="C342" i="1"/>
  <c r="E341" i="1"/>
  <c r="D341" i="1"/>
  <c r="C341" i="1"/>
  <c r="F340" i="1"/>
  <c r="E340" i="1"/>
  <c r="D340" i="1"/>
  <c r="C340" i="1"/>
  <c r="F339" i="1"/>
  <c r="E339" i="1"/>
  <c r="D339" i="1"/>
  <c r="C339" i="1"/>
  <c r="E338" i="1"/>
  <c r="D338" i="1"/>
  <c r="F337" i="1"/>
  <c r="E337" i="1"/>
  <c r="D337" i="1"/>
  <c r="A335" i="1"/>
  <c r="A334" i="1"/>
  <c r="E329" i="1"/>
  <c r="D329" i="1"/>
  <c r="E327" i="1"/>
  <c r="D327" i="1"/>
  <c r="F326" i="1"/>
  <c r="E326" i="1"/>
  <c r="D326" i="1"/>
  <c r="F325" i="1"/>
  <c r="E325" i="1"/>
  <c r="F324" i="1"/>
  <c r="E324" i="1"/>
  <c r="D324" i="1"/>
  <c r="E323" i="1"/>
  <c r="D323" i="1"/>
  <c r="F322" i="1"/>
  <c r="E322" i="1"/>
  <c r="D322" i="1"/>
  <c r="C322" i="1"/>
  <c r="F321" i="1"/>
  <c r="E321" i="1"/>
  <c r="D321" i="1"/>
  <c r="C321" i="1"/>
  <c r="F320" i="1"/>
  <c r="E320" i="1"/>
  <c r="C320" i="1"/>
  <c r="F319" i="1"/>
  <c r="E319" i="1"/>
  <c r="C319" i="1"/>
  <c r="E318" i="1"/>
  <c r="D318" i="1"/>
  <c r="C318" i="1"/>
  <c r="F317" i="1"/>
  <c r="E317" i="1"/>
  <c r="C317" i="1"/>
  <c r="F316" i="1"/>
  <c r="E316" i="1"/>
  <c r="D316" i="1"/>
  <c r="C316" i="1"/>
  <c r="E315" i="1"/>
  <c r="D315" i="1"/>
  <c r="C315" i="1"/>
  <c r="E314" i="1"/>
  <c r="D314" i="1"/>
  <c r="C314" i="1"/>
  <c r="F313" i="1"/>
  <c r="E313" i="1"/>
  <c r="D313" i="1"/>
  <c r="C313" i="1"/>
  <c r="F312" i="1"/>
  <c r="E312" i="1"/>
  <c r="C312" i="1"/>
  <c r="F311" i="1"/>
  <c r="D311" i="1"/>
  <c r="C311" i="1"/>
  <c r="F310" i="1"/>
  <c r="E310" i="1"/>
  <c r="F309" i="1"/>
  <c r="E309" i="1"/>
  <c r="D309" i="1"/>
  <c r="A307" i="1"/>
  <c r="A306" i="1"/>
  <c r="F301" i="1"/>
  <c r="E301" i="1"/>
  <c r="D301" i="1"/>
  <c r="F299" i="1"/>
  <c r="E299" i="1"/>
  <c r="D299" i="1"/>
  <c r="F298" i="1"/>
  <c r="E298" i="1"/>
  <c r="D298" i="1"/>
  <c r="F297" i="1"/>
  <c r="E297" i="1"/>
  <c r="D297" i="1"/>
  <c r="E296" i="1"/>
  <c r="D296" i="1"/>
  <c r="E295" i="1"/>
  <c r="D295" i="1"/>
  <c r="E294" i="1"/>
  <c r="D294" i="1"/>
  <c r="C294" i="1"/>
  <c r="F293" i="1"/>
  <c r="E293" i="1"/>
  <c r="D293" i="1"/>
  <c r="C293" i="1"/>
  <c r="F292" i="1"/>
  <c r="E292" i="1"/>
  <c r="C292" i="1"/>
  <c r="F291" i="1"/>
  <c r="E291" i="1"/>
  <c r="C291" i="1"/>
  <c r="F290" i="1"/>
  <c r="E290" i="1"/>
  <c r="C290" i="1"/>
  <c r="F289" i="1"/>
  <c r="E289" i="1"/>
  <c r="D289" i="1"/>
  <c r="C289" i="1"/>
  <c r="E288" i="1"/>
  <c r="D288" i="1"/>
  <c r="C288" i="1"/>
  <c r="E287" i="1"/>
  <c r="D287" i="1"/>
  <c r="C287" i="1"/>
  <c r="E286" i="1"/>
  <c r="D286" i="1"/>
  <c r="C286" i="1"/>
  <c r="F285" i="1"/>
  <c r="E285" i="1"/>
  <c r="D285" i="1"/>
  <c r="C285" i="1"/>
  <c r="F284" i="1"/>
  <c r="E284" i="1"/>
  <c r="D284" i="1"/>
  <c r="C284" i="1"/>
  <c r="F283" i="1"/>
  <c r="D283" i="1"/>
  <c r="C283" i="1"/>
  <c r="F282" i="1"/>
  <c r="E282" i="1"/>
  <c r="F281" i="1"/>
  <c r="D281" i="1"/>
  <c r="A279" i="1"/>
  <c r="A278" i="1"/>
  <c r="F273" i="1"/>
  <c r="E273" i="1"/>
  <c r="D273" i="1"/>
  <c r="F271" i="1"/>
  <c r="E271" i="1"/>
  <c r="D271" i="1"/>
  <c r="F270" i="1"/>
  <c r="E270" i="1"/>
  <c r="F269" i="1"/>
  <c r="E269" i="1"/>
  <c r="D269" i="1"/>
  <c r="E268" i="1"/>
  <c r="D268" i="1"/>
  <c r="F267" i="1"/>
  <c r="E267" i="1"/>
  <c r="F266" i="1"/>
  <c r="E266" i="1"/>
  <c r="D266" i="1"/>
  <c r="C266" i="1"/>
  <c r="F265" i="1"/>
  <c r="E265" i="1"/>
  <c r="C265" i="1"/>
  <c r="F264" i="1"/>
  <c r="E264" i="1"/>
  <c r="D264" i="1"/>
  <c r="C264" i="1"/>
  <c r="F263" i="1"/>
  <c r="E263" i="1"/>
  <c r="D263" i="1"/>
  <c r="C263" i="1"/>
  <c r="F262" i="1"/>
  <c r="E262" i="1"/>
  <c r="C262" i="1"/>
  <c r="F261" i="1"/>
  <c r="E261" i="1"/>
  <c r="D261" i="1"/>
  <c r="C261" i="1"/>
  <c r="F260" i="1"/>
  <c r="E260" i="1"/>
  <c r="D260" i="1"/>
  <c r="C260" i="1"/>
  <c r="F259" i="1"/>
  <c r="E259" i="1"/>
  <c r="C259" i="1"/>
  <c r="F258" i="1"/>
  <c r="E258" i="1"/>
  <c r="C258" i="1"/>
  <c r="F257" i="1"/>
  <c r="E257" i="1"/>
  <c r="C257" i="1"/>
  <c r="F256" i="1"/>
  <c r="D256" i="1"/>
  <c r="C256" i="1"/>
  <c r="F255" i="1"/>
  <c r="E255" i="1"/>
  <c r="D255" i="1"/>
  <c r="C255" i="1"/>
  <c r="F254" i="1"/>
  <c r="E254" i="1"/>
  <c r="D254" i="1"/>
  <c r="F253" i="1"/>
  <c r="D253" i="1"/>
  <c r="A251" i="1"/>
  <c r="A250" i="1"/>
  <c r="F245" i="1"/>
  <c r="E245" i="1"/>
  <c r="F243" i="1"/>
  <c r="E243" i="1"/>
  <c r="F242" i="1"/>
  <c r="E242" i="1"/>
  <c r="D242" i="1"/>
  <c r="F241" i="1"/>
  <c r="D241" i="1"/>
  <c r="F240" i="1"/>
  <c r="E240" i="1"/>
  <c r="F239" i="1"/>
  <c r="E239" i="1"/>
  <c r="F238" i="1"/>
  <c r="E238" i="1"/>
  <c r="D238" i="1"/>
  <c r="C238" i="1"/>
  <c r="F237" i="1"/>
  <c r="E237" i="1"/>
  <c r="D237" i="1"/>
  <c r="C237" i="1"/>
  <c r="F236" i="1"/>
  <c r="D236" i="1"/>
  <c r="C236" i="1"/>
  <c r="F235" i="1"/>
  <c r="E235" i="1"/>
  <c r="D235" i="1"/>
  <c r="C235" i="1"/>
  <c r="F234" i="1"/>
  <c r="E234" i="1"/>
  <c r="D234" i="1"/>
  <c r="C234" i="1"/>
  <c r="F233" i="1"/>
  <c r="E233" i="1"/>
  <c r="D233" i="1"/>
  <c r="C233" i="1"/>
  <c r="F232" i="1"/>
  <c r="E232" i="1"/>
  <c r="D232" i="1"/>
  <c r="C232" i="1"/>
  <c r="F231" i="1"/>
  <c r="E231" i="1"/>
  <c r="C231" i="1"/>
  <c r="F230" i="1"/>
  <c r="E230" i="1"/>
  <c r="C230" i="1"/>
  <c r="F229" i="1"/>
  <c r="E229" i="1"/>
  <c r="D229" i="1"/>
  <c r="C229" i="1"/>
  <c r="F228" i="1"/>
  <c r="D228" i="1"/>
  <c r="C228" i="1"/>
  <c r="E227" i="1"/>
  <c r="D227" i="1"/>
  <c r="C227" i="1"/>
  <c r="F226" i="1"/>
  <c r="D226" i="1"/>
  <c r="F225" i="1"/>
  <c r="E225" i="1"/>
  <c r="D225" i="1"/>
  <c r="A223" i="1"/>
  <c r="A222" i="1"/>
  <c r="F217" i="1"/>
  <c r="E217" i="1"/>
  <c r="D217" i="1"/>
  <c r="F215" i="1"/>
  <c r="E215" i="1"/>
  <c r="D215" i="1"/>
  <c r="F214" i="1"/>
  <c r="D214" i="1"/>
  <c r="F213" i="1"/>
  <c r="D213" i="1"/>
  <c r="F212" i="1"/>
  <c r="E212" i="1"/>
  <c r="F211" i="1"/>
  <c r="E211" i="1"/>
  <c r="D211" i="1"/>
  <c r="F210" i="1"/>
  <c r="E210" i="1"/>
  <c r="C210" i="1"/>
  <c r="F209" i="1"/>
  <c r="D209" i="1"/>
  <c r="C209" i="1"/>
  <c r="F208" i="1"/>
  <c r="D208" i="1"/>
  <c r="C208" i="1"/>
  <c r="F207" i="1"/>
  <c r="D207" i="1"/>
  <c r="C207" i="1"/>
  <c r="F206" i="1"/>
  <c r="D206" i="1"/>
  <c r="C206" i="1"/>
  <c r="F205" i="1"/>
  <c r="D205" i="1"/>
  <c r="C205" i="1"/>
  <c r="F204" i="1"/>
  <c r="E204" i="1"/>
  <c r="C204" i="1"/>
  <c r="F203" i="1"/>
  <c r="E203" i="1"/>
  <c r="D203" i="1"/>
  <c r="C203" i="1"/>
  <c r="F202" i="1"/>
  <c r="E202" i="1"/>
  <c r="D202" i="1"/>
  <c r="C202" i="1"/>
  <c r="F201" i="1"/>
  <c r="D201" i="1"/>
  <c r="C201" i="1"/>
  <c r="F200" i="1"/>
  <c r="E200" i="1"/>
  <c r="D200" i="1"/>
  <c r="C200" i="1"/>
  <c r="F199" i="1"/>
  <c r="E199" i="1"/>
  <c r="D199" i="1"/>
  <c r="C199" i="1"/>
  <c r="F198" i="1"/>
  <c r="D198" i="1"/>
  <c r="F197" i="1"/>
  <c r="E197" i="1"/>
  <c r="D197" i="1"/>
  <c r="A195" i="1"/>
  <c r="A194" i="1"/>
  <c r="F189" i="1"/>
  <c r="D189" i="1"/>
  <c r="F187" i="1"/>
  <c r="D187" i="1"/>
  <c r="F186" i="1"/>
  <c r="D186" i="1"/>
  <c r="F185" i="1"/>
  <c r="E185" i="1"/>
  <c r="D185" i="1"/>
  <c r="F184" i="1"/>
  <c r="E184" i="1"/>
  <c r="D184" i="1"/>
  <c r="F183" i="1"/>
  <c r="E183" i="1"/>
  <c r="D183" i="1"/>
  <c r="F182" i="1"/>
  <c r="E182" i="1"/>
  <c r="D182" i="1"/>
  <c r="C182" i="1"/>
  <c r="F181" i="1"/>
  <c r="E181" i="1"/>
  <c r="D181" i="1"/>
  <c r="C181" i="1"/>
  <c r="F180" i="1"/>
  <c r="E180" i="1"/>
  <c r="D180" i="1"/>
  <c r="C180" i="1"/>
  <c r="F179" i="1"/>
  <c r="E179" i="1"/>
  <c r="D179" i="1"/>
  <c r="C179" i="1"/>
  <c r="F178" i="1"/>
  <c r="E178" i="1"/>
  <c r="D178" i="1"/>
  <c r="C178" i="1"/>
  <c r="F177" i="1"/>
  <c r="E177" i="1"/>
  <c r="D177" i="1"/>
  <c r="C177" i="1"/>
  <c r="F176" i="1"/>
  <c r="E176" i="1"/>
  <c r="D176" i="1"/>
  <c r="C176" i="1"/>
  <c r="F175" i="1"/>
  <c r="D175" i="1"/>
  <c r="C175" i="1"/>
  <c r="F174" i="1"/>
  <c r="E174" i="1"/>
  <c r="D174" i="1"/>
  <c r="C174" i="1"/>
  <c r="F173" i="1"/>
  <c r="E173" i="1"/>
  <c r="D173" i="1"/>
  <c r="C173" i="1"/>
  <c r="E172" i="1"/>
  <c r="D172" i="1"/>
  <c r="C172" i="1"/>
  <c r="F171" i="1"/>
  <c r="E171" i="1"/>
  <c r="C171" i="1"/>
  <c r="F170" i="1"/>
  <c r="E170" i="1"/>
  <c r="D170" i="1"/>
  <c r="E169" i="1"/>
  <c r="D169" i="1"/>
  <c r="A167" i="1"/>
  <c r="A166" i="1"/>
  <c r="F161" i="1"/>
  <c r="E161" i="1"/>
  <c r="D161" i="1"/>
  <c r="F159" i="1"/>
  <c r="D159" i="1"/>
  <c r="F158" i="1"/>
  <c r="E158" i="1"/>
  <c r="D158" i="1"/>
  <c r="F157" i="1"/>
  <c r="E157" i="1"/>
  <c r="D157" i="1"/>
  <c r="F156" i="1"/>
  <c r="E156" i="1"/>
  <c r="D156" i="1"/>
  <c r="F155" i="1"/>
  <c r="D155" i="1"/>
  <c r="F154" i="1"/>
  <c r="D154" i="1"/>
  <c r="C154" i="1"/>
  <c r="F153" i="1"/>
  <c r="E153" i="1"/>
  <c r="D153" i="1"/>
  <c r="C153" i="1"/>
  <c r="E152" i="1"/>
  <c r="D152" i="1"/>
  <c r="C152" i="1"/>
  <c r="F151" i="1"/>
  <c r="E151" i="1"/>
  <c r="D151" i="1"/>
  <c r="C151" i="1"/>
  <c r="F150" i="1"/>
  <c r="E150" i="1"/>
  <c r="D150" i="1"/>
  <c r="C150" i="1"/>
  <c r="E149" i="1"/>
  <c r="D149" i="1"/>
  <c r="C149" i="1"/>
  <c r="F148" i="1"/>
  <c r="D148" i="1"/>
  <c r="C148" i="1"/>
  <c r="F147" i="1"/>
  <c r="E147" i="1"/>
  <c r="D147" i="1"/>
  <c r="C147" i="1"/>
  <c r="F146" i="1"/>
  <c r="D146" i="1"/>
  <c r="C146" i="1"/>
  <c r="F145" i="1"/>
  <c r="E145" i="1"/>
  <c r="D145" i="1"/>
  <c r="C145" i="1"/>
  <c r="F144" i="1"/>
  <c r="E144" i="1"/>
  <c r="D144" i="1"/>
  <c r="C144" i="1"/>
  <c r="F143" i="1"/>
  <c r="E143" i="1"/>
  <c r="C143" i="1"/>
  <c r="E142" i="1"/>
  <c r="D142" i="1"/>
  <c r="F141" i="1"/>
  <c r="E141" i="1"/>
  <c r="D141" i="1"/>
  <c r="A139" i="1"/>
  <c r="A138" i="1"/>
  <c r="F109" i="1"/>
  <c r="E109" i="1"/>
  <c r="D109" i="1"/>
  <c r="F107" i="1"/>
  <c r="E107" i="1"/>
  <c r="D107" i="1"/>
  <c r="E106" i="1"/>
  <c r="D106" i="1"/>
  <c r="F105" i="1"/>
  <c r="E105" i="1"/>
  <c r="D105" i="1"/>
  <c r="F104" i="1"/>
  <c r="D104" i="1"/>
  <c r="F103" i="1"/>
  <c r="E103" i="1"/>
  <c r="D103" i="1"/>
  <c r="F102" i="1"/>
  <c r="E102" i="1"/>
  <c r="D102" i="1"/>
  <c r="C102" i="1"/>
  <c r="E101" i="1"/>
  <c r="D101" i="1"/>
  <c r="C101" i="1"/>
  <c r="E100" i="1"/>
  <c r="D100" i="1"/>
  <c r="C100" i="1"/>
  <c r="F99" i="1"/>
  <c r="E99" i="1"/>
  <c r="D99" i="1"/>
  <c r="C99" i="1"/>
  <c r="E98" i="1"/>
  <c r="D98" i="1"/>
  <c r="C98" i="1"/>
  <c r="E97" i="1"/>
  <c r="D97" i="1"/>
  <c r="C97" i="1"/>
  <c r="F96" i="1"/>
  <c r="E96" i="1"/>
  <c r="D96" i="1"/>
  <c r="C96" i="1"/>
  <c r="F95" i="1"/>
  <c r="E95" i="1"/>
  <c r="D95" i="1"/>
  <c r="C95" i="1"/>
  <c r="F94" i="1"/>
  <c r="E94" i="1"/>
  <c r="D94" i="1"/>
  <c r="C94" i="1"/>
  <c r="E93" i="1"/>
  <c r="D93" i="1"/>
  <c r="C93" i="1"/>
  <c r="F92" i="1"/>
  <c r="E92" i="1"/>
  <c r="D92" i="1"/>
  <c r="C92" i="1"/>
  <c r="F91" i="1"/>
  <c r="E91" i="1"/>
  <c r="D91" i="1"/>
  <c r="C91" i="1"/>
  <c r="E90" i="1"/>
  <c r="D90" i="1"/>
  <c r="F89" i="1"/>
  <c r="E89" i="1"/>
  <c r="D89" i="1"/>
  <c r="A87" i="1"/>
  <c r="A86" i="1"/>
  <c r="E81" i="1"/>
  <c r="D81" i="1"/>
  <c r="F79" i="1"/>
  <c r="E79" i="1"/>
  <c r="D79" i="1"/>
  <c r="E78" i="1"/>
  <c r="D78" i="1"/>
  <c r="F77" i="1"/>
  <c r="E77" i="1"/>
  <c r="D77" i="1"/>
  <c r="F76" i="1"/>
  <c r="E76" i="1"/>
  <c r="D76" i="1"/>
  <c r="F75" i="1"/>
  <c r="E75" i="1"/>
  <c r="D75" i="1"/>
  <c r="F74" i="1"/>
  <c r="E74" i="1"/>
  <c r="D74" i="1"/>
  <c r="C74" i="1"/>
  <c r="F73" i="1"/>
  <c r="E73" i="1"/>
  <c r="D73" i="1"/>
  <c r="C73" i="1"/>
  <c r="F72" i="1"/>
  <c r="E72" i="1"/>
  <c r="C72" i="1"/>
  <c r="E71" i="1"/>
  <c r="D71" i="1"/>
  <c r="C71" i="1"/>
  <c r="E70" i="1"/>
  <c r="D70" i="1"/>
  <c r="C70" i="1"/>
  <c r="F69" i="1"/>
  <c r="E69" i="1"/>
  <c r="C69" i="1"/>
  <c r="F68" i="1"/>
  <c r="E68" i="1"/>
  <c r="D68" i="1"/>
  <c r="C68" i="1"/>
  <c r="F67" i="1"/>
  <c r="E67" i="1"/>
  <c r="D67" i="1"/>
  <c r="C67" i="1"/>
  <c r="E66" i="1"/>
  <c r="D66" i="1"/>
  <c r="C66" i="1"/>
  <c r="F65" i="1"/>
  <c r="E65" i="1"/>
  <c r="D65" i="1"/>
  <c r="C65" i="1"/>
  <c r="F64" i="1"/>
  <c r="E64" i="1"/>
  <c r="C64" i="1"/>
  <c r="F63" i="1"/>
  <c r="E63" i="1"/>
  <c r="D63" i="1"/>
  <c r="C63" i="1"/>
  <c r="F62" i="1"/>
  <c r="E62" i="1"/>
  <c r="F61" i="1"/>
  <c r="E61" i="1"/>
  <c r="D61" i="1"/>
  <c r="A59" i="1"/>
  <c r="A58" i="1"/>
  <c r="F51" i="1"/>
  <c r="D51" i="1"/>
  <c r="F50" i="1"/>
  <c r="D50" i="1"/>
  <c r="F49" i="1"/>
  <c r="E49" i="1"/>
  <c r="D49" i="1"/>
  <c r="F48" i="1"/>
  <c r="E48" i="1"/>
  <c r="D48" i="1"/>
  <c r="F47" i="1"/>
  <c r="E47" i="1"/>
  <c r="D47" i="1"/>
  <c r="F46" i="1"/>
  <c r="E46" i="1"/>
  <c r="D46" i="1"/>
  <c r="C46" i="1"/>
  <c r="F45" i="1"/>
  <c r="E45" i="1"/>
  <c r="D45" i="1"/>
  <c r="C45" i="1"/>
  <c r="F44" i="1"/>
  <c r="E44" i="1"/>
  <c r="C44" i="1"/>
  <c r="F43" i="1"/>
  <c r="E43" i="1"/>
  <c r="D43" i="1"/>
  <c r="C43" i="1"/>
  <c r="F42" i="1"/>
  <c r="E42" i="1"/>
  <c r="C42" i="1"/>
  <c r="F41" i="1"/>
  <c r="E41" i="1"/>
  <c r="D41" i="1"/>
  <c r="C41" i="1"/>
  <c r="F40" i="1"/>
  <c r="E40" i="1"/>
  <c r="D40" i="1"/>
  <c r="C40" i="1"/>
  <c r="F39" i="1"/>
  <c r="E39" i="1"/>
  <c r="D39" i="1"/>
  <c r="C39" i="1"/>
  <c r="F38" i="1"/>
  <c r="E38" i="1"/>
  <c r="D38" i="1"/>
  <c r="C38" i="1"/>
  <c r="F37" i="1"/>
  <c r="E37" i="1"/>
  <c r="D37" i="1"/>
  <c r="C37" i="1"/>
  <c r="F36" i="1"/>
  <c r="E36" i="1"/>
  <c r="D36" i="1"/>
  <c r="C36" i="1"/>
  <c r="F35" i="1"/>
  <c r="E35" i="1"/>
  <c r="D35" i="1"/>
  <c r="C35" i="1"/>
  <c r="F34" i="1"/>
  <c r="E34" i="1"/>
  <c r="F33" i="1"/>
  <c r="D33" i="1"/>
  <c r="A31" i="1"/>
  <c r="A30" i="1"/>
  <c r="F25" i="1"/>
  <c r="E25" i="1"/>
  <c r="D25" i="1"/>
  <c r="F23" i="1"/>
  <c r="E23" i="1"/>
  <c r="D23" i="1"/>
  <c r="F22" i="1"/>
  <c r="E22" i="1"/>
  <c r="F21" i="1"/>
  <c r="E21" i="1"/>
  <c r="D21" i="1"/>
  <c r="E20" i="1"/>
  <c r="D20" i="1"/>
  <c r="F19" i="1"/>
  <c r="E19" i="1"/>
  <c r="D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F5" i="1"/>
  <c r="E5" i="1"/>
  <c r="D5" i="1"/>
  <c r="A3" i="1"/>
  <c r="A2" i="1"/>
  <c r="D274" i="1" l="1"/>
  <c r="D9" i="27" s="1"/>
  <c r="F54" i="1"/>
  <c r="E386" i="1"/>
  <c r="F274" i="1"/>
  <c r="F498" i="1"/>
  <c r="E274" i="1"/>
  <c r="F637" i="1"/>
  <c r="E246" i="1"/>
  <c r="D693" i="1"/>
  <c r="D24" i="27" s="1"/>
  <c r="E82" i="1"/>
  <c r="F246" i="1"/>
  <c r="D358" i="1"/>
  <c r="D12" i="27" s="1"/>
  <c r="D470" i="1"/>
  <c r="D16" i="27" s="1"/>
  <c r="F162" i="1"/>
  <c r="E498" i="1"/>
  <c r="D82" i="1"/>
  <c r="D3" i="27" s="1"/>
  <c r="E218" i="1"/>
  <c r="E665" i="1"/>
  <c r="D110" i="1"/>
  <c r="D4" i="27" s="1"/>
  <c r="E414" i="1"/>
  <c r="D582" i="1"/>
  <c r="D20" i="27" s="1"/>
  <c r="F414" i="1"/>
  <c r="D54" i="1"/>
  <c r="D2" i="27" s="1"/>
  <c r="F82" i="1"/>
  <c r="E84" i="1" s="1"/>
  <c r="C3" i="27" s="1"/>
  <c r="E442" i="1"/>
  <c r="E610" i="1"/>
  <c r="F26" i="1"/>
  <c r="E330" i="1"/>
  <c r="E554" i="1"/>
  <c r="D190" i="1"/>
  <c r="D6" i="27" s="1"/>
  <c r="D246" i="1"/>
  <c r="D8" i="27" s="1"/>
  <c r="F386" i="1"/>
  <c r="E388" i="1" s="1"/>
  <c r="C13" i="27" s="1"/>
  <c r="F610" i="1"/>
  <c r="E612" i="1" s="1"/>
  <c r="C21" i="27" s="1"/>
  <c r="E26" i="1"/>
  <c r="E110" i="1"/>
  <c r="E190" i="1"/>
  <c r="AA30" i="23"/>
  <c r="D302" i="1"/>
  <c r="D10" i="27" s="1"/>
  <c r="E582" i="1"/>
  <c r="D665" i="1"/>
  <c r="D23" i="27" s="1"/>
  <c r="F693" i="1"/>
  <c r="AF29" i="2"/>
  <c r="AP29" i="3"/>
  <c r="BL29" i="5"/>
  <c r="AX29" i="8"/>
  <c r="CD29" i="9"/>
  <c r="AB29" i="12"/>
  <c r="BX29" i="17"/>
  <c r="AB29" i="18"/>
  <c r="AA29" i="22"/>
  <c r="AB30" i="23"/>
  <c r="L33" i="23"/>
  <c r="AC29" i="26"/>
  <c r="AQ28" i="7"/>
  <c r="F218" i="1"/>
  <c r="E358" i="1"/>
  <c r="AA29" i="18"/>
  <c r="F110" i="1"/>
  <c r="F358" i="1"/>
  <c r="F470" i="1"/>
  <c r="D554" i="1"/>
  <c r="D19" i="27" s="1"/>
  <c r="F302" i="1"/>
  <c r="F330" i="1"/>
  <c r="F582" i="1"/>
  <c r="BM29" i="5"/>
  <c r="BS29" i="6"/>
  <c r="D482" i="1"/>
  <c r="D498" i="1" s="1"/>
  <c r="D17" i="27" s="1"/>
  <c r="D510" i="1"/>
  <c r="D526" i="1" s="1"/>
  <c r="D18" i="27" s="1"/>
  <c r="AY29" i="8"/>
  <c r="CE29" i="9"/>
  <c r="BY29" i="13"/>
  <c r="BY29" i="17"/>
  <c r="AC29" i="18"/>
  <c r="AQ29" i="19"/>
  <c r="AB29" i="22"/>
  <c r="D442" i="1"/>
  <c r="D15" i="27" s="1"/>
  <c r="AA29" i="12"/>
  <c r="F554" i="1"/>
  <c r="E54" i="1"/>
  <c r="E302" i="1"/>
  <c r="D386" i="1"/>
  <c r="D13" i="27" s="1"/>
  <c r="F442" i="1"/>
  <c r="E526" i="1"/>
  <c r="D610" i="1"/>
  <c r="D21" i="27" s="1"/>
  <c r="F665" i="1"/>
  <c r="E667" i="1" s="1"/>
  <c r="C23" i="27" s="1"/>
  <c r="AQ29" i="4"/>
  <c r="BN29" i="5"/>
  <c r="BT29" i="6"/>
  <c r="AR28" i="7"/>
  <c r="BZ29" i="13"/>
  <c r="AR29" i="19"/>
  <c r="AC29" i="20"/>
  <c r="D330" i="1"/>
  <c r="D11" i="27" s="1"/>
  <c r="E470" i="1"/>
  <c r="E637" i="1"/>
  <c r="E693" i="1"/>
  <c r="D162" i="1"/>
  <c r="D5" i="27" s="1"/>
  <c r="F526" i="1"/>
  <c r="AS28" i="7"/>
  <c r="CA29" i="13"/>
  <c r="BT29" i="14"/>
  <c r="BD29" i="15"/>
  <c r="AP29" i="16"/>
  <c r="AD29" i="20"/>
  <c r="M32" i="22"/>
  <c r="J33" i="22"/>
  <c r="M33" i="22" s="1"/>
  <c r="F190" i="1"/>
  <c r="AS29" i="4"/>
  <c r="BE29" i="15"/>
  <c r="AQ29" i="16"/>
  <c r="AC29" i="21"/>
  <c r="AB29" i="21"/>
  <c r="E159" i="1"/>
  <c r="E162" i="1" s="1"/>
  <c r="CA29" i="24"/>
  <c r="CC29" i="24"/>
  <c r="D637" i="1"/>
  <c r="D22" i="27" s="1"/>
  <c r="D15" i="1"/>
  <c r="D26" i="1" s="1"/>
  <c r="D1" i="27" s="1"/>
  <c r="D218" i="1"/>
  <c r="D7" i="27" s="1"/>
  <c r="D414" i="1"/>
  <c r="D14" i="27" s="1"/>
  <c r="CB29" i="24"/>
  <c r="AA29" i="25"/>
  <c r="E500" i="1" l="1"/>
  <c r="C17" i="27" s="1"/>
  <c r="E276" i="1"/>
  <c r="C9" i="27" s="1"/>
  <c r="E444" i="1"/>
  <c r="C15" i="27" s="1"/>
  <c r="E416" i="1"/>
  <c r="C14" i="27" s="1"/>
  <c r="E164" i="1"/>
  <c r="C5" i="27" s="1"/>
  <c r="E528" i="1"/>
  <c r="C18" i="27" s="1"/>
  <c r="E639" i="1"/>
  <c r="C22" i="27" s="1"/>
  <c r="E56" i="1"/>
  <c r="C2" i="27" s="1"/>
  <c r="E556" i="1"/>
  <c r="C19" i="27" s="1"/>
  <c r="E332" i="1"/>
  <c r="C11" i="27" s="1"/>
  <c r="E220" i="1"/>
  <c r="C7" i="27" s="1"/>
  <c r="E472" i="1"/>
  <c r="C16" i="27" s="1"/>
  <c r="E248" i="1"/>
  <c r="C8" i="27" s="1"/>
  <c r="E695" i="1"/>
  <c r="C24" i="27" s="1"/>
  <c r="E304" i="1"/>
  <c r="C10" i="27" s="1"/>
  <c r="E28" i="1"/>
  <c r="C1" i="27" s="1"/>
  <c r="E360" i="1"/>
  <c r="C12" i="27" s="1"/>
  <c r="E192" i="1"/>
  <c r="C6" i="27" s="1"/>
  <c r="E112" i="1"/>
  <c r="C4" i="27" s="1"/>
  <c r="E584" i="1"/>
  <c r="C20" i="2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tc={AD473290-AEF8-9142-D14B-68EFCBE37A1D}</author>
  </authors>
  <commentList>
    <comment ref="M13" authorId="0" shapeId="0" xr:uid="{AD473290-AEF8-9142-D14B-68EFCBE37A1D}">
      <text>
        <r>
          <rPr>
            <b/>
            <sz val="9"/>
            <rFont val="Tahoma"/>
          </rPr>
          <t>Даниил Коваленко:</t>
        </r>
        <r>
          <rPr>
            <sz val="9"/>
            <rFont val="Tahoma"/>
          </rPr>
          <t xml:space="preserve">
спал на паре, игнорировал замечания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tc={A96BAFA9-ADCD-437C-4201-42ED9BE4FE49}</author>
  </authors>
  <commentList>
    <comment ref="N28" authorId="0" shapeId="0" xr:uid="{A96BAFA9-ADCD-437C-4201-42ED9BE4FE49}">
      <text>
        <r>
          <rPr>
            <b/>
            <sz val="9"/>
            <rFont val="Tahoma"/>
          </rPr>
          <t>Юрий Штанов:</t>
        </r>
        <r>
          <rPr>
            <sz val="9"/>
            <rFont val="Tahoma"/>
          </rPr>
          <t xml:space="preserve">
спал на паре
</t>
        </r>
      </text>
    </comment>
  </commentList>
</comments>
</file>

<file path=xl/sharedStrings.xml><?xml version="1.0" encoding="utf-8"?>
<sst xmlns="http://schemas.openxmlformats.org/spreadsheetml/2006/main" count="5531" uniqueCount="655">
  <si>
    <t>Пропуски</t>
  </si>
  <si>
    <t>№</t>
  </si>
  <si>
    <t>Дисциплина</t>
  </si>
  <si>
    <t>Сессия</t>
  </si>
  <si>
    <t>Средний 
балл</t>
  </si>
  <si>
    <t>Уваж.</t>
  </si>
  <si>
    <t>Неуваж.</t>
  </si>
  <si>
    <t>Иностранный язык в профессиональной деятельности</t>
  </si>
  <si>
    <t>Физическая культура</t>
  </si>
  <si>
    <t>История</t>
  </si>
  <si>
    <t>Проектирование и разработка интерфейсов пользователя</t>
  </si>
  <si>
    <t>Элементы высшей математики</t>
  </si>
  <si>
    <t>Архитектура аппаратных средств</t>
  </si>
  <si>
    <t>Операционные системы и среды</t>
  </si>
  <si>
    <t>Основы алгоритмизации и программирования</t>
  </si>
  <si>
    <t/>
  </si>
  <si>
    <t>Основы проектирования баз данных</t>
  </si>
  <si>
    <t>Численные методы</t>
  </si>
  <si>
    <t>Компьютерные сети</t>
  </si>
  <si>
    <t>Теория вероятности и математическая статистика</t>
  </si>
  <si>
    <t>Дискретная математика</t>
  </si>
  <si>
    <t>Разработка программных модулей</t>
  </si>
  <si>
    <t>Внедрение и поддержка компьютерных систем</t>
  </si>
  <si>
    <t>Обеспечение качества функционирования компьютерных систем</t>
  </si>
  <si>
    <t>Психология общения</t>
  </si>
  <si>
    <t>Технология разработки и защиты баз данных</t>
  </si>
  <si>
    <t>Безопасность жизнедеятельности</t>
  </si>
  <si>
    <t>20.</t>
  </si>
  <si>
    <t>Проектирование и дизайн информационных систем</t>
  </si>
  <si>
    <t>Общее количество пропусков</t>
  </si>
  <si>
    <t>Ляхина Дарья Сергеевна</t>
  </si>
  <si>
    <t>3 сем</t>
  </si>
  <si>
    <t>ДЗ</t>
  </si>
  <si>
    <t>Средний балл</t>
  </si>
  <si>
    <t>н/отр</t>
  </si>
  <si>
    <t>н/у/отр</t>
  </si>
  <si>
    <t>оп</t>
  </si>
  <si>
    <t>+</t>
  </si>
  <si>
    <t>Наименование предмета</t>
  </si>
  <si>
    <t>ФИО преподавателя</t>
  </si>
  <si>
    <t>Скоросова Анна Владимировна</t>
  </si>
  <si>
    <t xml:space="preserve">ИСиП 24/2 </t>
  </si>
  <si>
    <t>Месяц</t>
  </si>
  <si>
    <t>Число</t>
  </si>
  <si>
    <t>1.</t>
  </si>
  <si>
    <t>Адилбеков Бектур</t>
  </si>
  <si>
    <t>н</t>
  </si>
  <si>
    <t>н\3</t>
  </si>
  <si>
    <t>н/у</t>
  </si>
  <si>
    <t>2.</t>
  </si>
  <si>
    <t>Ахметов Артём Рамилевич</t>
  </si>
  <si>
    <t>3.</t>
  </si>
  <si>
    <t>Бараников Владислав Михайлович</t>
  </si>
  <si>
    <t>4.</t>
  </si>
  <si>
    <t>Борсук Артём Дмитриевич</t>
  </si>
  <si>
    <t>5.</t>
  </si>
  <si>
    <t>Гильманов Ильназ Максимович</t>
  </si>
  <si>
    <t>6.</t>
  </si>
  <si>
    <t>Говтва Илья Денисович</t>
  </si>
  <si>
    <t>7.</t>
  </si>
  <si>
    <t>Горшков Владислав Васильевич</t>
  </si>
  <si>
    <t>8.</t>
  </si>
  <si>
    <t>Гришко Илья Алексеевич</t>
  </si>
  <si>
    <t>9.</t>
  </si>
  <si>
    <t>Катков Константин Александрович</t>
  </si>
  <si>
    <t>10.</t>
  </si>
  <si>
    <t>Корнеев Андрей Александрович</t>
  </si>
  <si>
    <t>11.</t>
  </si>
  <si>
    <t>Макаров Максим Алексеевич</t>
  </si>
  <si>
    <t>13.</t>
  </si>
  <si>
    <t>Муллагалиев Вадим Радмилович</t>
  </si>
  <si>
    <t>12.</t>
  </si>
  <si>
    <t>Натфуллин Камиль Данисович</t>
  </si>
  <si>
    <t>14.</t>
  </si>
  <si>
    <t>Носков Ярослав Евгеньевич</t>
  </si>
  <si>
    <t>15.</t>
  </si>
  <si>
    <t>Осыка Владислав Сергеевич</t>
  </si>
  <si>
    <t>16.</t>
  </si>
  <si>
    <t>Романов Михаил Васильевич</t>
  </si>
  <si>
    <t>17.</t>
  </si>
  <si>
    <t>Руфуллаев Ибрагим Фуадович</t>
  </si>
  <si>
    <t>18.</t>
  </si>
  <si>
    <t>Сарычев Данила Андреевич</t>
  </si>
  <si>
    <t>19.</t>
  </si>
  <si>
    <t>Сурков Кирилл Александрович</t>
  </si>
  <si>
    <t>Усатов Тимофей Анатольевич</t>
  </si>
  <si>
    <t>21.</t>
  </si>
  <si>
    <t>Халитов Кирилл Родионович</t>
  </si>
  <si>
    <t>Хорошилов Игорь Александрович</t>
  </si>
  <si>
    <t>22.</t>
  </si>
  <si>
    <t>Хрычев Мирон Евгеньевич</t>
  </si>
  <si>
    <t>23.</t>
  </si>
  <si>
    <t>Цапов Илья Валерьевич</t>
  </si>
  <si>
    <t>Дата</t>
  </si>
  <si>
    <t>Тема / ДЗ</t>
  </si>
  <si>
    <t>10\09</t>
  </si>
  <si>
    <t>Biligual people. Question word order</t>
  </si>
  <si>
    <t>15\09</t>
  </si>
  <si>
    <t>Formal\informal letters.</t>
  </si>
  <si>
    <t>23\09</t>
  </si>
  <si>
    <t>Видеолекция. Computers. ex 1-8</t>
  </si>
  <si>
    <t>-</t>
  </si>
  <si>
    <t>к\р</t>
  </si>
  <si>
    <t>13\10</t>
  </si>
  <si>
    <t>Задание на moodle</t>
  </si>
  <si>
    <t>24\11</t>
  </si>
  <si>
    <t>Relationship. Present and past Tenses</t>
  </si>
  <si>
    <t>25\11</t>
  </si>
  <si>
    <t>Relationship. Present and past Tenses зачет\отработка</t>
  </si>
  <si>
    <t>28\11</t>
  </si>
  <si>
    <t>p. Present and past Tenses  test</t>
  </si>
  <si>
    <t>29\11</t>
  </si>
  <si>
    <t>Reading telecoms trends</t>
  </si>
  <si>
    <t>2\12</t>
  </si>
  <si>
    <t>History of computers hardware</t>
  </si>
  <si>
    <t>4\12</t>
  </si>
  <si>
    <t>Computers and IT in the modern world</t>
  </si>
  <si>
    <t>10\12</t>
  </si>
  <si>
    <t xml:space="preserve">Information technologies in Russia and the world </t>
  </si>
  <si>
    <t>12\12</t>
  </si>
  <si>
    <t>Видеолекция. Задание на мудл</t>
  </si>
  <si>
    <t>16\12</t>
  </si>
  <si>
    <t>Проверка заданий</t>
  </si>
  <si>
    <t>17\12</t>
  </si>
  <si>
    <t>Отработа пропусков.</t>
  </si>
  <si>
    <t>23\12</t>
  </si>
  <si>
    <t>Контрольная работа.</t>
  </si>
  <si>
    <t>13\01</t>
  </si>
  <si>
    <t>Видеолекция. CAREER IN IT:
ADVANTAGES AND DISADVANTAGES</t>
  </si>
  <si>
    <t>17\01</t>
  </si>
  <si>
    <t>UNIT 1The main parts of the computer system</t>
  </si>
  <si>
    <t>31\01</t>
  </si>
  <si>
    <t>Optical technologies ex 1-7</t>
  </si>
  <si>
    <t>14\02</t>
  </si>
  <si>
    <t>Delete keys – clipboard technology</t>
  </si>
  <si>
    <t>16\02</t>
  </si>
  <si>
    <t>Introduction to the WWW</t>
  </si>
  <si>
    <t>24\02</t>
  </si>
  <si>
    <t>News Repport/ Time Linkers</t>
  </si>
  <si>
    <t>28\02</t>
  </si>
  <si>
    <t>Подготовка к к\р</t>
  </si>
  <si>
    <t>03\03</t>
  </si>
  <si>
    <t>Global information. Видеолекция</t>
  </si>
  <si>
    <t>04\03</t>
  </si>
  <si>
    <t>Test</t>
  </si>
  <si>
    <t>Коваленко Даниил Романович</t>
  </si>
  <si>
    <t>Сентябрь</t>
  </si>
  <si>
    <t>Октябрь</t>
  </si>
  <si>
    <t>Ноябрь</t>
  </si>
  <si>
    <t>Декабрь</t>
  </si>
  <si>
    <t>Январь</t>
  </si>
  <si>
    <t>Февраль</t>
  </si>
  <si>
    <t>М</t>
  </si>
  <si>
    <t>Апрель</t>
  </si>
  <si>
    <t>КЛ</t>
  </si>
  <si>
    <t>\1</t>
  </si>
  <si>
    <t>\2</t>
  </si>
  <si>
    <t>\3</t>
  </si>
  <si>
    <t>\4</t>
  </si>
  <si>
    <t>\5</t>
  </si>
  <si>
    <t>\6</t>
  </si>
  <si>
    <t>\7</t>
  </si>
  <si>
    <t>\8</t>
  </si>
  <si>
    <t>\9</t>
  </si>
  <si>
    <t>\10</t>
  </si>
  <si>
    <t>\11</t>
  </si>
  <si>
    <t>\12</t>
  </si>
  <si>
    <t>\13</t>
  </si>
  <si>
    <t>\14</t>
  </si>
  <si>
    <t>\15</t>
  </si>
  <si>
    <t>\16</t>
  </si>
  <si>
    <t>\17</t>
  </si>
  <si>
    <t>\18</t>
  </si>
  <si>
    <t>\19</t>
  </si>
  <si>
    <t>\20</t>
  </si>
  <si>
    <t>Хрычёв Мирон Евгеньевич</t>
  </si>
  <si>
    <t>ПР 1</t>
  </si>
  <si>
    <t>ПР 2</t>
  </si>
  <si>
    <t>ПР 3</t>
  </si>
  <si>
    <t>ПР 4</t>
  </si>
  <si>
    <t>ПР 5</t>
  </si>
  <si>
    <t>Дневник</t>
  </si>
  <si>
    <t>1.1. Категории пользовательских интерфейсов информационных систем (1-9 слайды) + Задание</t>
  </si>
  <si>
    <t>1.1. Категории пользовательских интерфейсов информационных систем (9-15 слайды) + Задание</t>
  </si>
  <si>
    <t>1.2. Элементы опыта взаимодействия в системе человек-компьютер (1-6 слайды) + Задание</t>
  </si>
  <si>
    <t>Задание по проектированию 1</t>
  </si>
  <si>
    <t>Задание по проектированию 2</t>
  </si>
  <si>
    <t>Подготовкак к коллоквиуму, письменные ответы на вопросы</t>
  </si>
  <si>
    <t>2.1. Основы WEB дизайна</t>
  </si>
  <si>
    <t>Практическая работа 1 - html</t>
  </si>
  <si>
    <t>Практическая работа 2 - html</t>
  </si>
  <si>
    <t>Практическая работа 3 - html</t>
  </si>
  <si>
    <t>Задание по проектированию 3</t>
  </si>
  <si>
    <t>Практическая работа 4 - html</t>
  </si>
  <si>
    <t>Практическая работа 5 - html</t>
  </si>
  <si>
    <t>Доработка практических работ</t>
  </si>
  <si>
    <t>Проверка практических работ</t>
  </si>
  <si>
    <t>Выполнение заданий по книге "Основы формального языка описания внешнего вида документа CSS"</t>
  </si>
  <si>
    <t>Выполнение заданий по книге "Основы формального языка описания внешнего вида документа CSS" - 10 тема.</t>
  </si>
  <si>
    <t>Патраков Андрей Иванович</t>
  </si>
  <si>
    <t>группа</t>
  </si>
  <si>
    <t>сен</t>
  </si>
  <si>
    <t>окт</t>
  </si>
  <si>
    <t>ноя</t>
  </si>
  <si>
    <t>дек</t>
  </si>
  <si>
    <t>фев</t>
  </si>
  <si>
    <t>март</t>
  </si>
  <si>
    <t>4 сем</t>
  </si>
  <si>
    <t>здоровья</t>
  </si>
  <si>
    <t>З</t>
  </si>
  <si>
    <t>осн</t>
  </si>
  <si>
    <t>неявка</t>
  </si>
  <si>
    <t>подг</t>
  </si>
  <si>
    <t>зачтено</t>
  </si>
  <si>
    <t>не зачтено</t>
  </si>
  <si>
    <t>спец</t>
  </si>
  <si>
    <t>н/у/</t>
  </si>
  <si>
    <t>Инструктаж по Ф.К.</t>
  </si>
  <si>
    <t>ОФП. (Геолог)</t>
  </si>
  <si>
    <t>ОФП+спортивные игры. (Геолог)</t>
  </si>
  <si>
    <t>ОФП+спортивные игры. (32 школа)</t>
  </si>
  <si>
    <t>Тестовые задания</t>
  </si>
  <si>
    <t>Инструктаж по Ф.К.ОФП+спортивные игры. (Геолог)</t>
  </si>
  <si>
    <t>Квест</t>
  </si>
  <si>
    <t>Алпаева Валентина Викторовна</t>
  </si>
  <si>
    <t>Экз</t>
  </si>
  <si>
    <t>?</t>
  </si>
  <si>
    <t>y</t>
  </si>
  <si>
    <t>оп/+</t>
  </si>
  <si>
    <t>05\09</t>
  </si>
  <si>
    <t>Матрицы и операции над ними (Л)</t>
  </si>
  <si>
    <t>09\09</t>
  </si>
  <si>
    <t>Матрицы и операции над ними (дистант)</t>
  </si>
  <si>
    <t>Определитель матрицы, свойства (дистантт, практическая) (Л)</t>
  </si>
  <si>
    <t>л</t>
  </si>
  <si>
    <t>п</t>
  </si>
  <si>
    <t>11\09</t>
  </si>
  <si>
    <t>Определитель матрицы, минор, алгебраическое дополнение</t>
  </si>
  <si>
    <t>17\09</t>
  </si>
  <si>
    <t>Обратная матрица</t>
  </si>
  <si>
    <t>07\10</t>
  </si>
  <si>
    <t>Решение СЛАУ</t>
  </si>
  <si>
    <t>09\10</t>
  </si>
  <si>
    <t>Матрицы и операции над ними (подготовка)</t>
  </si>
  <si>
    <t>14\10</t>
  </si>
  <si>
    <t>Матрицы и операции над ними (с/р)</t>
  </si>
  <si>
    <t>10\11</t>
  </si>
  <si>
    <t>Комплексные числа (Л)</t>
  </si>
  <si>
    <t>Комплексные числа (ПЗ)</t>
  </si>
  <si>
    <t>17\11</t>
  </si>
  <si>
    <t>Тригонометрическая форма комплексного числа</t>
  </si>
  <si>
    <t>18\11</t>
  </si>
  <si>
    <t>Комплексные числа (ПЗ) (домашнее)</t>
  </si>
  <si>
    <t>20\11</t>
  </si>
  <si>
    <t>Доклады</t>
  </si>
  <si>
    <t>04\12</t>
  </si>
  <si>
    <t>Решение уравнений с комплексными числами</t>
  </si>
  <si>
    <t>05\12</t>
  </si>
  <si>
    <t>Контрольная работа</t>
  </si>
  <si>
    <t>Комплексные числа (ПЗ) (с/р)</t>
  </si>
  <si>
    <t>08\12</t>
  </si>
  <si>
    <t>Работа над ошибками</t>
  </si>
  <si>
    <t>26\12</t>
  </si>
  <si>
    <t>Итоговый тест</t>
  </si>
  <si>
    <t>12\01</t>
  </si>
  <si>
    <t>Векторы</t>
  </si>
  <si>
    <t>19\01</t>
  </si>
  <si>
    <t>Скалярное произведение векторов, проекции</t>
  </si>
  <si>
    <t>20\01</t>
  </si>
  <si>
    <t>Векторное произведение векторов</t>
  </si>
  <si>
    <t>21\01</t>
  </si>
  <si>
    <t>Векторное произведение векторов (задания) дист</t>
  </si>
  <si>
    <t>23\01</t>
  </si>
  <si>
    <t>Смешанное произведение векторов (дист)</t>
  </si>
  <si>
    <t>26\01</t>
  </si>
  <si>
    <t>Кривые второго порядка (выучить)</t>
  </si>
  <si>
    <t>27\01</t>
  </si>
  <si>
    <t xml:space="preserve">Кривые второго порядка </t>
  </si>
  <si>
    <t>Кривые второго порядка. Решение задач</t>
  </si>
  <si>
    <t>03\02</t>
  </si>
  <si>
    <t>06\02</t>
  </si>
  <si>
    <t>Кривые второго порядка (с/р)</t>
  </si>
  <si>
    <t>Понятие уравнения линии на плоскости. Составление уравнения прямой на плоскости.</t>
  </si>
  <si>
    <t>Клейменов Степан Владимирович</t>
  </si>
  <si>
    <t>13.09.</t>
  </si>
  <si>
    <t>18.10.25</t>
  </si>
  <si>
    <t>Темы</t>
  </si>
  <si>
    <t>согл.тем</t>
  </si>
  <si>
    <t>проц</t>
  </si>
  <si>
    <t>мат.плата</t>
  </si>
  <si>
    <t>сис.охлаж</t>
  </si>
  <si>
    <t>Опер.пам</t>
  </si>
  <si>
    <t>ssd</t>
  </si>
  <si>
    <t>ЖД</t>
  </si>
  <si>
    <t>видео</t>
  </si>
  <si>
    <t>блок пит</t>
  </si>
  <si>
    <t>корпус</t>
  </si>
  <si>
    <t>кулер</t>
  </si>
  <si>
    <t>монитор</t>
  </si>
  <si>
    <t>коллоквиум</t>
  </si>
  <si>
    <t>сам раб</t>
  </si>
  <si>
    <t>Диф зачет</t>
  </si>
  <si>
    <t>24.</t>
  </si>
  <si>
    <t>Штанов Юрий Николаевич</t>
  </si>
  <si>
    <t>с</t>
  </si>
  <si>
    <t>Введение</t>
  </si>
  <si>
    <t>Введение: Виртуализация</t>
  </si>
  <si>
    <t>Операционная система Windows. История</t>
  </si>
  <si>
    <t>Операционная система Windows и Linux</t>
  </si>
  <si>
    <t>Практическая работа 1</t>
  </si>
  <si>
    <t>Программа VirtualBox</t>
  </si>
  <si>
    <t>Отказоустойчивость дисковых систем и восстанавливаемость_x000B_файловых систем</t>
  </si>
  <si>
    <t>Лицензии на программное обеспечение и документацию</t>
  </si>
  <si>
    <t>Практическая работа 2</t>
  </si>
  <si>
    <t>Архивация и сжатие. Компьютерные вирусы и антивирусы</t>
  </si>
  <si>
    <t>Скрипты на Bash</t>
  </si>
  <si>
    <t>Информационные технологии в автоматизации и управлении. Работа с клиентом и сервером SSH</t>
  </si>
  <si>
    <t>Система управления пакетами DNF</t>
  </si>
  <si>
    <t>Архивирование и резервное копирование в РЕД ОС; Планировщики заданий</t>
  </si>
  <si>
    <t>Практическая работа 3: Организация удалённого доступа в OC Linux</t>
  </si>
  <si>
    <t>Кузнецов Алексей Николаевич</t>
  </si>
  <si>
    <t>о</t>
  </si>
  <si>
    <t>Введение в программирование на C++ https://onlinetestpad.com/h3s7xobt5oojs</t>
  </si>
  <si>
    <t>Простые типы данных https://onlinetestpad.com/3kyb2wkijubpk</t>
  </si>
  <si>
    <t>Л</t>
  </si>
  <si>
    <t>П</t>
  </si>
  <si>
    <t>Производные типы данных https://onlinetestpad.com/e2t5svzlfiotc</t>
  </si>
  <si>
    <t>План</t>
  </si>
  <si>
    <t>Поразрядные операции и маски; практические кейсы в С++ https://onlinetestpad.com/bgtbal7aia46i</t>
  </si>
  <si>
    <t>Факт</t>
  </si>
  <si>
    <t>Практическая работа 3</t>
  </si>
  <si>
    <t>Практическая работа 4</t>
  </si>
  <si>
    <t>Ветвления: if/else; switch; антипаттерны и best practices. https://onlinetestpad.com/atfsn5gwsusp4</t>
  </si>
  <si>
    <t>Практическая работа 5</t>
  </si>
  <si>
    <t>Циклы: while/for/do‑while;вложенность; контроль условий.</t>
  </si>
  <si>
    <t>Практическая работа 6</t>
  </si>
  <si>
    <t>Ввод/вывод подробно:форматирование, std::getline, парсинг.</t>
  </si>
  <si>
    <t>Практическая работа 7</t>
  </si>
  <si>
    <t>Функции:объявление/определение, область видимости, прототипы.</t>
  </si>
  <si>
    <t>Параметры: по значению, поссылке, const&amp;; возврат значения.</t>
  </si>
  <si>
    <t xml:space="preserve">Рекурсия: идеи, стек; задачи vs итерация; хвостовая рекурсия </t>
  </si>
  <si>
    <t>Коллоквиум</t>
  </si>
  <si>
    <t>Практическая работа 8</t>
  </si>
  <si>
    <t>Практическая работа 9</t>
  </si>
  <si>
    <t>Массивы C‑стиля и строки; работа с буферами; безопасность.</t>
  </si>
  <si>
    <t>string: операции, поиск/замена; конвертации.</t>
  </si>
  <si>
    <t>Практическая работа 10</t>
  </si>
  <si>
    <t>Практическая работа 11</t>
  </si>
  <si>
    <t>Практическая работа 12</t>
  </si>
  <si>
    <t>Гирявый Владимир Владимирович</t>
  </si>
  <si>
    <t>но</t>
  </si>
  <si>
    <t>.</t>
  </si>
  <si>
    <t>оп-</t>
  </si>
  <si>
    <t>отп</t>
  </si>
  <si>
    <t>пз1</t>
  </si>
  <si>
    <t>пз2</t>
  </si>
  <si>
    <t>кр</t>
  </si>
  <si>
    <t>лр2</t>
  </si>
  <si>
    <t>Введение в предмет. Актуальность АИС и БД.</t>
  </si>
  <si>
    <t>Состав и ф-ии СУБД 3ур архитектура</t>
  </si>
  <si>
    <t>07/окт.</t>
  </si>
  <si>
    <t>Структурный подход к проектировнию АИС</t>
  </si>
  <si>
    <t>20/окт.</t>
  </si>
  <si>
    <t>Структурный подход. Диаграммы потоков данных</t>
  </si>
  <si>
    <t>27/окт.</t>
  </si>
  <si>
    <t>ПЗ 1. Моделирование процессов. DFD</t>
  </si>
  <si>
    <t>30/окт.</t>
  </si>
  <si>
    <t>Видео-лекция. Концепции проектирования БД</t>
  </si>
  <si>
    <t>Видео-лекция. Инфологическое моделирование. Метод Сущность-связь</t>
  </si>
  <si>
    <t>ПЗ 2. Моделирование процессов. DFD</t>
  </si>
  <si>
    <t>ИЛМ. Метод "сущность-связь"</t>
  </si>
  <si>
    <t>Видео-лекция. Метод "сущность-связь". Д.З. Анализ модели Лабораторный практикум</t>
  </si>
  <si>
    <t>ЛР 2. Построение инфологической модели БД</t>
  </si>
  <si>
    <t>ЛР 2. Построение инфологической модели БД. Метод IDEF1X</t>
  </si>
  <si>
    <t>ЛР 2. Построение инфологической модели БД. Метод Мартина</t>
  </si>
  <si>
    <t>Целостность базы данных</t>
  </si>
  <si>
    <t>Метод нормальных форм</t>
  </si>
  <si>
    <t>Метод нормальных форм. 1,2,3 НФ</t>
  </si>
  <si>
    <t>Пересдача контрольной работы</t>
  </si>
  <si>
    <t>Повторение</t>
  </si>
  <si>
    <t>оп/2</t>
  </si>
  <si>
    <t>н/о</t>
  </si>
  <si>
    <t>02\09</t>
  </si>
  <si>
    <t>Элементы теории погрешностей</t>
  </si>
  <si>
    <t>04\09</t>
  </si>
  <si>
    <t>Приближённые решения алгебраических и трансцендентных уравнений</t>
  </si>
  <si>
    <t>08\09</t>
  </si>
  <si>
    <t>Решение систем линейных алгебраических уравнений</t>
  </si>
  <si>
    <t>16\09</t>
  </si>
  <si>
    <t>Вычисление погрешностей результатов арифметических действий над приближёнными числами</t>
  </si>
  <si>
    <t>Решение систем линейных алгебраических уравнений (домашнее)</t>
  </si>
  <si>
    <t>26\09</t>
  </si>
  <si>
    <t>Интерполяция, экстраполяция, аппроксимация</t>
  </si>
  <si>
    <t>10\10</t>
  </si>
  <si>
    <t>Дифференциальные уравнения</t>
  </si>
  <si>
    <t>15\10</t>
  </si>
  <si>
    <t>Решение дифференциальных уравнениий. Задача Коши (3-10 слайд)</t>
  </si>
  <si>
    <t>16\10</t>
  </si>
  <si>
    <t>17\10</t>
  </si>
  <si>
    <t>21\10</t>
  </si>
  <si>
    <t>КОЛЛОКВИУМ</t>
  </si>
  <si>
    <t>29\10</t>
  </si>
  <si>
    <t>Решение систем линейных алгебраических уравнений (дист)</t>
  </si>
  <si>
    <t>1\11</t>
  </si>
  <si>
    <t>Решение дифференциальных уравнениий (на дом 2 уравнения)</t>
  </si>
  <si>
    <t>11\11</t>
  </si>
  <si>
    <t>Решение систем линейных алгебраических уравнений (с/р)</t>
  </si>
  <si>
    <t>19\11</t>
  </si>
  <si>
    <t xml:space="preserve">Решение дифференциальных уравнениий </t>
  </si>
  <si>
    <t>Решение дифференциальных уравнениий 2-го порядка с постоянным коэффициентов (д/з)</t>
  </si>
  <si>
    <t>13\12</t>
  </si>
  <si>
    <t xml:space="preserve">Решение дифференциальных уравнениий 2-го порядка с постоянным коэффициентов </t>
  </si>
  <si>
    <t>Трушина Александра Игоревна</t>
  </si>
  <si>
    <t xml:space="preserve"> </t>
  </si>
  <si>
    <t>октябрь</t>
  </si>
  <si>
    <t>ноябрь</t>
  </si>
  <si>
    <t>декабрь</t>
  </si>
  <si>
    <t>о/3</t>
  </si>
  <si>
    <t>отр</t>
  </si>
  <si>
    <t>ПЛАН</t>
  </si>
  <si>
    <t>ПРОШЛО</t>
  </si>
  <si>
    <t>ОСТАЛОСЬ</t>
  </si>
  <si>
    <t>БОрсук Артём Дмитриевич</t>
  </si>
  <si>
    <t>ПЗ</t>
  </si>
  <si>
    <t>Ч</t>
  </si>
  <si>
    <t>НоскОв Ярослав Евгеньевич</t>
  </si>
  <si>
    <t>ЛР 3</t>
  </si>
  <si>
    <t>ЛР 4</t>
  </si>
  <si>
    <t>ЛР 5</t>
  </si>
  <si>
    <t>ЛР 6</t>
  </si>
  <si>
    <t>К</t>
  </si>
  <si>
    <t>ЛР 7/1</t>
  </si>
  <si>
    <t>Л7/2</t>
  </si>
  <si>
    <t>Лекция 1. Введение в сетевые технологии</t>
  </si>
  <si>
    <t>5=</t>
  </si>
  <si>
    <t>Практическая работа №1. Изучение сервисов объединённых сетей</t>
  </si>
  <si>
    <t>4=</t>
  </si>
  <si>
    <t>Работа с рабочими тетрадями. Тема 1.1</t>
  </si>
  <si>
    <t>3=</t>
  </si>
  <si>
    <t>Практическая работа №2. Исследование возможностей программы Friendly Pinger</t>
  </si>
  <si>
    <t>- опоздал</t>
  </si>
  <si>
    <t>2=</t>
  </si>
  <si>
    <t>Теоретическая лекционная работа: Изучение сетевых стандартов и их реальных документов</t>
  </si>
  <si>
    <t>н=</t>
  </si>
  <si>
    <t>пз</t>
  </si>
  <si>
    <t>Лабораторная работа №3. Построение простейшей компьютерной сети с использованием Cisco Packet Tracer</t>
  </si>
  <si>
    <t>Лабораторная работа №4.Основные команды операционной системы Cisco IOS</t>
  </si>
  <si>
    <t>01.11.</t>
  </si>
  <si>
    <t>Лабораторная работа №5. Организация простейшей компьютерной сети с помощью коммутатора и концентратора</t>
  </si>
  <si>
    <t>Коллокквиум</t>
  </si>
  <si>
    <t>Лабораторная работа № 7. Изучение технологии виртуальных локальных сетей VLAN. Часть 1</t>
  </si>
  <si>
    <t>Видео-лекция 12.11.2025 Тема 1.2 в рабочей тетради ИСИП-Р</t>
  </si>
  <si>
    <t>Лабораторная работа №7. Изучение технологии виртуальных локальных сетей VLAN. Часть 2</t>
  </si>
  <si>
    <t>Лекция. Тема 1.3 в рабочей тетради</t>
  </si>
  <si>
    <t>Лекция. Раздел 2. Тем 2.1, Тема 2.2 / Сдача долгов, отработка ПЗ</t>
  </si>
  <si>
    <t>Заполнение тетради</t>
  </si>
  <si>
    <t>Март</t>
  </si>
  <si>
    <t>14\01</t>
  </si>
  <si>
    <t>Случайные события. Вероятность случайного события.</t>
  </si>
  <si>
    <t>Случайные события. Вероятность случайного события. (задачи)</t>
  </si>
  <si>
    <t>28\01</t>
  </si>
  <si>
    <t>Формула Бернулли</t>
  </si>
  <si>
    <t>Решение задач (дист)</t>
  </si>
  <si>
    <t>05\02</t>
  </si>
  <si>
    <t>Случайные события. Вероятность случайного события. (с/р)</t>
  </si>
  <si>
    <t>10\02</t>
  </si>
  <si>
    <t>Случайные величины (проверить таблицу и мат.ожид.)</t>
  </si>
  <si>
    <t>11\02</t>
  </si>
  <si>
    <t>Случайные дискретные величины</t>
  </si>
  <si>
    <t>13\02</t>
  </si>
  <si>
    <t>18\02</t>
  </si>
  <si>
    <t>Дискретная случайная величина, решение задач (дист)</t>
  </si>
  <si>
    <t>Дискретная случайная величина, решение задач</t>
  </si>
  <si>
    <t>02\03</t>
  </si>
  <si>
    <t>Дискретная случайная величина (с/р)</t>
  </si>
  <si>
    <t>Математическая статистика</t>
  </si>
  <si>
    <t>11\03</t>
  </si>
  <si>
    <t>Математическая статистика (тест)</t>
  </si>
  <si>
    <t>16\01</t>
  </si>
  <si>
    <t>Множества (дописать законы де Моргана)</t>
  </si>
  <si>
    <t>Множества (дист)</t>
  </si>
  <si>
    <t>30\01</t>
  </si>
  <si>
    <t>Множества, операции над ними</t>
  </si>
  <si>
    <t>04\02</t>
  </si>
  <si>
    <t>09\02</t>
  </si>
  <si>
    <t>Множества, операции над ними (подготовиться к самост. работе)</t>
  </si>
  <si>
    <t>Множества, операции над ними: итоговая работа по теме</t>
  </si>
  <si>
    <t>Логика высказываний (подг. к устному опросу)</t>
  </si>
  <si>
    <t>Составление таблиц истинности. Предикаты</t>
  </si>
  <si>
    <t>14\03</t>
  </si>
  <si>
    <t>Составление таблиц истинности. Равносильность формул</t>
  </si>
  <si>
    <t>31\03</t>
  </si>
  <si>
    <t>Высказывания и логические операции над ними</t>
  </si>
  <si>
    <t>Разработка кода ИС</t>
  </si>
  <si>
    <t>Вводная лекция</t>
  </si>
  <si>
    <t>Типы данных</t>
  </si>
  <si>
    <t>Арифметика</t>
  </si>
  <si>
    <t>Малова Мария Станиславовна</t>
  </si>
  <si>
    <t>Зачет</t>
  </si>
  <si>
    <t>ВНИМАНИЕ! ДЛЯ ОТРАБОТКИ Н (неуваж.) ПРИНЕСТИ КОНСПЕКТ ПО ТЕМЕ ПАРЫ И ЗНАТЬ УСТНЫЙ ПЕРЕСКАЗ ТЕЗИСНО!</t>
  </si>
  <si>
    <t>29.01.</t>
  </si>
  <si>
    <t>Теории формировании и развития личности (Усатов, Говтва, Бараников, Руфуллаев, Осыка, Сарычев, Гришко, Цапов)</t>
  </si>
  <si>
    <t>Тема: Психология личности и общения</t>
  </si>
  <si>
    <t>02.02.</t>
  </si>
  <si>
    <t>Тема: Типология характеров,Конституционные теории, Акцентуальные теории, Социальная типология, Социальные характеристики личности.</t>
  </si>
  <si>
    <t>ДЗ: Доклады по теме 1</t>
  </si>
  <si>
    <t>12.02.</t>
  </si>
  <si>
    <t>Общение как коммуникация. Базовые понятия по теме общение как коммуникация</t>
  </si>
  <si>
    <t>16.02.</t>
  </si>
  <si>
    <t>Коммуникативная сторона общения и барьеры коммуникаций.</t>
  </si>
  <si>
    <t>17.02.</t>
  </si>
  <si>
    <t>Практическая отработка. Доклады по теме 2</t>
  </si>
  <si>
    <t>18.02.</t>
  </si>
  <si>
    <t xml:space="preserve">Практическая отработка. Доклады по теме 2 </t>
  </si>
  <si>
    <t>19.02.</t>
  </si>
  <si>
    <t>Самоорганизация личности.</t>
  </si>
  <si>
    <t>19.02. ДЗ: ДЗ: Заполнить таблицу "Я реальное" и "Я идеальное".</t>
  </si>
  <si>
    <t>07.03.</t>
  </si>
  <si>
    <t>Обсуждение дз, доработка по теме самоорганизация.</t>
  </si>
  <si>
    <t>Долгова Виктория Терентьевна</t>
  </si>
  <si>
    <t>Cентябрь</t>
  </si>
  <si>
    <t>Л1. Основные понятия и определения ИС.</t>
  </si>
  <si>
    <t>Л2. Основные понятия и определения ИС.</t>
  </si>
  <si>
    <t>ФАКТ</t>
  </si>
  <si>
    <t xml:space="preserve">Л3. Организация и методы сбора информации. </t>
  </si>
  <si>
    <t>ЧАСОВ В ГОД</t>
  </si>
  <si>
    <t>ПРОВЕДЕНО ЧАСОВ</t>
  </si>
  <si>
    <t>ЧАСОВ</t>
  </si>
  <si>
    <t>ПАР</t>
  </si>
  <si>
    <t xml:space="preserve">Л4. Постановка задачи обработки данных. </t>
  </si>
  <si>
    <t xml:space="preserve">Л5. Основные модели построения информационной системы. </t>
  </si>
  <si>
    <t xml:space="preserve">Л6. Основные модели построения информационной системы. </t>
  </si>
  <si>
    <t>ВСЕГО</t>
  </si>
  <si>
    <t xml:space="preserve">ПР1. Знакомство с элементами Figma. Создание прототипа. </t>
  </si>
  <si>
    <t>ПР2. Работа с векторными формами.</t>
  </si>
  <si>
    <t>ПР3. Работа с текстом и изображениями.</t>
  </si>
  <si>
    <t>ПР4. Презентации.</t>
  </si>
  <si>
    <t>Л7. Сервис-ориентированная архитектура (SOA)</t>
  </si>
  <si>
    <t xml:space="preserve">ПР5. Создание лендинга. </t>
  </si>
  <si>
    <t xml:space="preserve">ПР6. Создание лендинга. </t>
  </si>
  <si>
    <t>Л8. Методы и средства проектирования ИС.</t>
  </si>
  <si>
    <t>Л9. Принципы построения модели IDEF0.</t>
  </si>
  <si>
    <t>ПР7. 1. Анализ предметной области методом контент-анализа.</t>
  </si>
  <si>
    <t>КОНТРОЛЬНАЯ РАБОТА</t>
  </si>
  <si>
    <t>Л10. Диаграммы IDEF0: декомпозиция, деревья узлов и FEO.</t>
  </si>
  <si>
    <t>ПР8. 2. Анализ предметной области методом вебометрического анализа.</t>
  </si>
  <si>
    <t>ПР9. 3. Анализ предметной области методом анализа ситауций.</t>
  </si>
  <si>
    <t>Л11. Особенности обеспечения разничных классов ИС. Экспертные системы. Системы реального времени.</t>
  </si>
  <si>
    <t>Л12. Оценка экономической эффективности ИС.</t>
  </si>
  <si>
    <t>Л13. Основные процессы управления проектом.  Средства управления проектами.</t>
  </si>
  <si>
    <t>Л14. 4. Работы (Activity). Стрелки (Arrow). Туннелирование стрелок. Нумерация работ и диаграмм. Каркас диаграммы.</t>
  </si>
  <si>
    <t>Л15. 5. Слияние и расщепление моделей.</t>
  </si>
  <si>
    <t>ПР10. 6. Разработка модели архитектуры информационной системы.</t>
  </si>
  <si>
    <t>Л16. 7. Описание бизнес-процессов заданой предметной области.</t>
  </si>
  <si>
    <t xml:space="preserve">Л17. Основные понятия качества информационной системы. </t>
  </si>
  <si>
    <t>ПР11. 8. Оценка экономической эффективности информационной системы.</t>
  </si>
  <si>
    <t>Основы финансовой грамотности и предпринимательства</t>
  </si>
  <si>
    <t>Семенова Татьяна Андреевна</t>
  </si>
  <si>
    <t>Цели и задачи ОФГ и предпринимательства.
Актуальность повышения уровня ФГ населения РФ.</t>
  </si>
  <si>
    <t>Источники финансовых средств семьи. Виды денежных средств. Доходы и способы их получения.
Расчет личного и семейного бюджета.</t>
  </si>
  <si>
    <t>ПЗ. Деловая игра: составление личного и семейного бюджета, оценка их баланса.</t>
  </si>
  <si>
    <t xml:space="preserve">Банки. Банковские услуги населению. Валюта. Валютный рынок. </t>
  </si>
  <si>
    <t>Тест. Лекция по теме Основные виды кредитов: потребительский и ипотечный.</t>
  </si>
  <si>
    <t>Долговая нагрузка. Личное банкротство.</t>
  </si>
  <si>
    <t>ПЗ. Банкротство</t>
  </si>
  <si>
    <t>Необходимость и формы сбережений. Принципы инвестирования</t>
  </si>
  <si>
    <t>Самостоятельная работа по теме: "Банковская система РФ"</t>
  </si>
  <si>
    <t>Прохождение Всероссийского онлайн-зачета по ФГ с выдачей сертификатов</t>
  </si>
  <si>
    <t>ПЗ.Сравнительный анализ страхования и видов страхования РФ и зарубежных стран</t>
  </si>
  <si>
    <t>Л. Ценные бумаги как объект инвестирования</t>
  </si>
  <si>
    <t>ПЗ. Анализ динамики изменения курса валюты (по вариантам - доллар, евро, юань) за последние 2 года</t>
  </si>
  <si>
    <t>ПЗ. Решение онлайн-тестов</t>
  </si>
  <si>
    <t>Л. Пенсионная система РФ</t>
  </si>
  <si>
    <t>Решение задач</t>
  </si>
  <si>
    <t>ПЗ. Виды пенсий</t>
  </si>
  <si>
    <t>Л. Налоги</t>
  </si>
  <si>
    <t>КР по теме "Налоги и налогооблажение"</t>
  </si>
  <si>
    <t>Решение онлайн-тестов</t>
  </si>
  <si>
    <t>Л. Финансовое мошенничество</t>
  </si>
  <si>
    <t>ПЗ. Финансовое мошенничество</t>
  </si>
  <si>
    <t>Отработка текущих задолженностей</t>
  </si>
  <si>
    <t>ДИФФ. ЗАЧЕТ</t>
  </si>
  <si>
    <t>Д.З</t>
  </si>
  <si>
    <t>оп/3</t>
  </si>
  <si>
    <t>хор</t>
  </si>
  <si>
    <t>оп/4</t>
  </si>
  <si>
    <t>н/3</t>
  </si>
  <si>
    <t>отл</t>
  </si>
  <si>
    <t>неуд</t>
  </si>
  <si>
    <t>Введение в дисциплину БЖД</t>
  </si>
  <si>
    <t>Потенциальные опасности и их последствия в профессиональной деятельности</t>
  </si>
  <si>
    <t>Чрезвычайные ситуации мирного времени и защита от них</t>
  </si>
  <si>
    <t>Оружие массового поражения и способы защиты населения</t>
  </si>
  <si>
    <t>Гражданская оборона - составная часть обороноспособности страны</t>
  </si>
  <si>
    <t>Основы обороны государства и воинская обязанность</t>
  </si>
  <si>
    <t>Организация и порядок призыва граждан на военную службу</t>
  </si>
  <si>
    <t xml:space="preserve">Обеспечение безопасности веб-приложений </t>
  </si>
  <si>
    <t>о/5</t>
  </si>
  <si>
    <t>о/4</t>
  </si>
  <si>
    <t>Задание по Лекция 1. История информационной безопасности веб-приложений</t>
  </si>
  <si>
    <t>1 Основные понятия обеспечения безопасности веб приложений до 14 слайда</t>
  </si>
  <si>
    <t>1 Основные понятия обеспечения безопасности веб приложений / Тест по лекции</t>
  </si>
  <si>
    <t>Лабораторная работа № 1. Сбор информации о web-ПРИЛОЖЕНИИ</t>
  </si>
  <si>
    <t>Основные принципы
Построения безопасных
Сайтов</t>
  </si>
  <si>
    <t>Практическая работа № 1. Анализ примеров нарушений информационной безопасности. Выявление значимых составляющих информационной безопасности и характеристик информационной системы в конкретных ситуациях</t>
  </si>
  <si>
    <t>Практическая работа № 2 Анализ нормативно-правовой документации по организации и функционированию режима защиты государственной тайны</t>
  </si>
  <si>
    <t>2.2.2. Частотность запросов / 2.2.3. Процесс сбора семантического ядра. Лекция</t>
  </si>
  <si>
    <t>Практическая работа № 3 Оценка уязвимости информации</t>
  </si>
  <si>
    <t>Производительность веб-приложений: основы и актуальность - В счет оптимизации</t>
  </si>
  <si>
    <t>Обзор и ключевые темы информационной безопасности веб-приложений</t>
  </si>
  <si>
    <t xml:space="preserve">Оптимизация веб-приложений </t>
  </si>
  <si>
    <t>о/+</t>
  </si>
  <si>
    <t>ЛР 1</t>
  </si>
  <si>
    <t>ЛР 2</t>
  </si>
  <si>
    <t>2.1.1. Цели поисковой оптимизации / 2.1.2. Основные понятия</t>
  </si>
  <si>
    <t>Практическая работа 1 «Поисковая оптимизация и продвижение сайта»</t>
  </si>
  <si>
    <t>2.1.3. Фильтры поисковых систем</t>
  </si>
  <si>
    <t>Лабораторная работа №1 «Проведение общего аудита сайта: SEO, юзабилити, тексты»</t>
  </si>
  <si>
    <t>2.2.1. Семантическое ядро</t>
  </si>
  <si>
    <t>2.2.2. Частотность запросов</t>
  </si>
  <si>
    <t>Лабораторная работа № 2</t>
  </si>
  <si>
    <t>Работа с учебником. Глава 2. Оптизимизация веб-приложений. Техническая оптимизация</t>
  </si>
  <si>
    <t>Тестирование информационных систем</t>
  </si>
  <si>
    <t>.4</t>
  </si>
  <si>
    <t>.5</t>
  </si>
  <si>
    <t>.2</t>
  </si>
  <si>
    <t>.6</t>
  </si>
  <si>
    <t>.1</t>
  </si>
  <si>
    <t>.3</t>
  </si>
  <si>
    <t xml:space="preserve">Тема 1.1. Основные понятия теории надёжности </t>
  </si>
  <si>
    <t>Тема 1.2. Качество программных средств</t>
  </si>
  <si>
    <t>Тема 1.3. Модели качества информационных систем</t>
  </si>
  <si>
    <t>Тема 2.1. Моеди качества ИС</t>
  </si>
  <si>
    <t>Работа по индивидуальному дневнику</t>
  </si>
  <si>
    <t>Графический дизайн и мультимедия</t>
  </si>
  <si>
    <t>3-</t>
  </si>
  <si>
    <r>
      <rPr>
        <sz val="12"/>
        <rFont val="Times New Roman"/>
      </rPr>
      <t>Говтва Илья</t>
    </r>
    <r>
      <rPr>
        <sz val="8"/>
        <color theme="2" tint="-0.249977111117893"/>
        <rFont val="Times New Roman"/>
      </rPr>
      <t xml:space="preserve"> </t>
    </r>
    <r>
      <rPr>
        <sz val="8"/>
        <color theme="0" tint="-0.14999847407452621"/>
        <rFont val="Times New Roman"/>
      </rPr>
      <t>(Илюха)</t>
    </r>
    <r>
      <rPr>
        <sz val="8"/>
        <color theme="2" tint="-0.249977111117893"/>
        <rFont val="Times New Roman"/>
      </rPr>
      <t xml:space="preserve"> </t>
    </r>
    <r>
      <rPr>
        <sz val="12"/>
        <rFont val="Times New Roman"/>
      </rPr>
      <t>Денисович</t>
    </r>
  </si>
  <si>
    <t>Тема 1. Коммуникативный дизайн</t>
  </si>
  <si>
    <t>Письменная работа по теме 1. Коммуникативный дизайн</t>
  </si>
  <si>
    <t>Настройка и работа с графическим планшетом</t>
  </si>
  <si>
    <t>Задание на выбор направления аудиторной деятельности по МДК.08.02.</t>
  </si>
  <si>
    <t>Тема 2. Пользовательски интерфейс</t>
  </si>
  <si>
    <t>Тема 3. Область применения коммуникативных технологий</t>
  </si>
  <si>
    <t>Выполнение задания по индивиудальному проекту</t>
  </si>
  <si>
    <t>Тема 4. Пользовательсике сценарии</t>
  </si>
  <si>
    <t>Тема 5. Информационная архитектура</t>
  </si>
  <si>
    <t>Проектирование и разработка веб-приложений</t>
  </si>
  <si>
    <t>М.</t>
  </si>
  <si>
    <t>Сарычев Данила Андреевич*</t>
  </si>
  <si>
    <t>Учебник (Разработка Web приложений) Тема 1.7. Язык JavaScript. Тема 1.7.1, 1.7.2.</t>
  </si>
  <si>
    <t>МДК.09.01 Основной учебник JavaScript. Теоретический практикум</t>
  </si>
  <si>
    <t>МДК.09.01 Основной учебник JavaScript. Теоретический практикум. Письменная работа 1 по пройденным темам 1-5</t>
  </si>
  <si>
    <t>Практическая работа 1. Поиск ошибок в коде JavaScrip. 1-6 задание</t>
  </si>
  <si>
    <t>Н-ки &gt; 20</t>
  </si>
  <si>
    <t>Оценки  &lt;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</si>
</sst>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.mm"/>
    <numFmt numFmtId="165" formatCode="dd\.mm\.yy"/>
    <numFmt numFmtId="166" formatCode="dd/mm"/>
    <numFmt numFmtId="167" formatCode="dd\-mmm"/>
    <numFmt numFmtId="168" formatCode="[$-19]d/mmm;@"/>
    <numFmt numFmtId="169" formatCode="dd\.mm\.yyyy"/>
    <numFmt numFmtId="170" formatCode="[$-19]d\ mmm;@"/>
    <numFmt numFmtId="171" formatCode="dd/mm;@"/>
  </numFmts>
  <fonts count="87">
    <font>
      <sz val="12"/>
      <color theme="1"/>
      <name val="LiberationSans"/>
    </font>
    <font>
      <sz val="11"/>
      <color rgb="FF9C6500"/>
      <name val="Calibri"/>
      <scheme val="minor"/>
    </font>
    <font>
      <sz val="11"/>
      <color rgb="FF9C0006"/>
      <name val="Calibri"/>
      <scheme val="minor"/>
    </font>
    <font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3F3F76"/>
      <name val="Calibri"/>
      <scheme val="minor"/>
    </font>
    <font>
      <sz val="12"/>
      <color theme="1"/>
      <name val="Times New Roman"/>
    </font>
    <font>
      <b/>
      <i/>
      <sz val="11"/>
      <color theme="1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b/>
      <sz val="22"/>
      <color theme="1"/>
      <name val="Carlito"/>
    </font>
    <font>
      <b/>
      <sz val="12"/>
      <color theme="1"/>
      <name val="Carlito"/>
    </font>
    <font>
      <b/>
      <sz val="11"/>
      <color theme="1"/>
      <name val="Calibri"/>
      <scheme val="minor"/>
    </font>
    <font>
      <sz val="12"/>
      <color theme="1"/>
      <name val="Carlito"/>
    </font>
    <font>
      <sz val="12"/>
      <name val="Times New Roman"/>
    </font>
    <font>
      <sz val="11"/>
      <name val="Calibri"/>
      <scheme val="minor"/>
    </font>
    <font>
      <sz val="12"/>
      <name val="Carlito"/>
    </font>
    <font>
      <b/>
      <sz val="20"/>
      <color theme="1"/>
      <name val="Carlito"/>
    </font>
    <font>
      <b/>
      <sz val="10"/>
      <name val="Carlito"/>
    </font>
    <font>
      <b/>
      <sz val="10"/>
      <color indexed="2"/>
      <name val="Carlito"/>
    </font>
    <font>
      <b/>
      <sz val="12"/>
      <color indexed="2"/>
      <name val="Carlito"/>
    </font>
    <font>
      <sz val="11"/>
      <name val="Times New Roman"/>
    </font>
    <font>
      <sz val="12"/>
      <color indexed="2"/>
      <name val="Times New Roman"/>
    </font>
    <font>
      <strike/>
      <sz val="12"/>
      <name val="Times New Roman"/>
    </font>
    <font>
      <strike/>
      <sz val="12"/>
      <color theme="1"/>
      <name val="Carlito"/>
    </font>
    <font>
      <b/>
      <sz val="12"/>
      <color theme="1"/>
      <name val="LiberationSans"/>
    </font>
    <font>
      <sz val="11.5"/>
      <color rgb="FF34343C"/>
      <name val="Liberation Sans"/>
    </font>
    <font>
      <b/>
      <sz val="11"/>
      <color theme="1"/>
      <name val="Carlito"/>
    </font>
    <font>
      <sz val="11"/>
      <color theme="1"/>
      <name val="Carlito"/>
    </font>
    <font>
      <sz val="11"/>
      <name val="Carlito"/>
    </font>
    <font>
      <sz val="11"/>
      <color theme="1"/>
      <name val="LiberationSans"/>
    </font>
    <font>
      <sz val="8"/>
      <color theme="1"/>
      <name val="LiberationSans"/>
    </font>
    <font>
      <sz val="9"/>
      <color theme="1"/>
      <name val="LiberationSans"/>
    </font>
    <font>
      <b/>
      <sz val="9"/>
      <color theme="1"/>
      <name val="Carlito"/>
    </font>
    <font>
      <b/>
      <sz val="9"/>
      <color theme="1"/>
      <name val="Calibri"/>
      <scheme val="minor"/>
    </font>
    <font>
      <sz val="12"/>
      <color theme="1"/>
      <name val="Asana"/>
    </font>
    <font>
      <sz val="12"/>
      <name val="Asana"/>
    </font>
    <font>
      <b/>
      <sz val="16"/>
      <color theme="1"/>
      <name val="Carlito"/>
    </font>
    <font>
      <b/>
      <sz val="16"/>
      <name val="Carlito"/>
    </font>
    <font>
      <b/>
      <sz val="12"/>
      <name val="Carlito"/>
    </font>
    <font>
      <b/>
      <sz val="10"/>
      <color theme="1"/>
      <name val="Carlito"/>
    </font>
    <font>
      <sz val="11"/>
      <name val="Calibri"/>
    </font>
    <font>
      <sz val="10"/>
      <color theme="1"/>
      <name val="LiberationSans"/>
    </font>
    <font>
      <sz val="11"/>
      <color rgb="FF203864"/>
      <name val="Calibri Light"/>
    </font>
    <font>
      <sz val="10"/>
      <name val="LiberationSans"/>
    </font>
    <font>
      <sz val="11"/>
      <name val="LiberationSans"/>
    </font>
    <font>
      <b/>
      <sz val="18"/>
      <color theme="1"/>
      <name val="Carlito"/>
    </font>
    <font>
      <b/>
      <sz val="11"/>
      <name val="Carlito"/>
    </font>
    <font>
      <sz val="12"/>
      <color theme="1"/>
      <name val="Symbola"/>
    </font>
    <font>
      <b/>
      <sz val="12"/>
      <name val="Times New Roman"/>
    </font>
    <font>
      <b/>
      <sz val="20"/>
      <color theme="1"/>
      <name val="Times New Roman"/>
    </font>
    <font>
      <b/>
      <sz val="20"/>
      <name val="Times New Roman"/>
    </font>
    <font>
      <sz val="20"/>
      <color theme="1"/>
      <name val="Times New Roman"/>
    </font>
    <font>
      <b/>
      <sz val="11"/>
      <name val="Times New Roman"/>
    </font>
    <font>
      <b/>
      <sz val="11"/>
      <color indexed="2"/>
      <name val="Times New Roman"/>
    </font>
    <font>
      <b/>
      <sz val="8"/>
      <name val="Times New Roman"/>
    </font>
    <font>
      <sz val="8"/>
      <color theme="1"/>
      <name val="Times New Roman"/>
    </font>
    <font>
      <sz val="8"/>
      <color rgb="FF9C0006"/>
      <name val="Times New Roman"/>
    </font>
    <font>
      <sz val="8"/>
      <name val="Times New Roman"/>
    </font>
    <font>
      <sz val="9"/>
      <color theme="1"/>
      <name val="Times New Roman"/>
    </font>
    <font>
      <sz val="12"/>
      <color theme="1"/>
      <name val="Calibri"/>
      <scheme val="minor"/>
    </font>
    <font>
      <strike/>
      <sz val="12"/>
      <color theme="1"/>
      <name val="LiberationSans"/>
    </font>
    <font>
      <strike/>
      <sz val="12"/>
      <name val="Carlito"/>
    </font>
    <font>
      <strike/>
      <sz val="11"/>
      <color theme="1"/>
      <name val="Calibri"/>
      <scheme val="minor"/>
    </font>
    <font>
      <b/>
      <sz val="12"/>
      <color theme="1"/>
      <name val="Times New Roman"/>
    </font>
    <font>
      <strike/>
      <sz val="12"/>
      <color theme="1"/>
      <name val="Times New Roman"/>
    </font>
    <font>
      <b/>
      <sz val="12"/>
      <color indexed="2"/>
      <name val="LiberationSans"/>
    </font>
    <font>
      <sz val="14"/>
      <name val="Times New Roman"/>
    </font>
    <font>
      <sz val="10"/>
      <color rgb="FF203864"/>
      <name val="Calibri Light"/>
    </font>
    <font>
      <sz val="10"/>
      <name val="Carlito"/>
    </font>
    <font>
      <sz val="10"/>
      <color theme="1"/>
      <name val="Carlito"/>
    </font>
    <font>
      <sz val="10"/>
      <name val="Calibri"/>
      <scheme val="minor"/>
    </font>
    <font>
      <b/>
      <sz val="9"/>
      <color theme="1"/>
      <name val="Times New Roman"/>
    </font>
    <font>
      <sz val="12"/>
      <name val="LiberationSans"/>
    </font>
    <font>
      <sz val="12"/>
      <color theme="1"/>
      <name val="Liberation Sans"/>
    </font>
    <font>
      <sz val="11"/>
      <name val="Liberation Sans"/>
    </font>
    <font>
      <b/>
      <sz val="22"/>
      <color theme="1"/>
      <name val="Times New Roman"/>
    </font>
    <font>
      <b/>
      <sz val="10"/>
      <name val="Times New Roman"/>
    </font>
    <font>
      <b/>
      <sz val="10"/>
      <color indexed="2"/>
      <name val="Times New Roman"/>
    </font>
    <font>
      <b/>
      <sz val="8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b/>
      <sz val="22"/>
      <name val="Times New Roman"/>
    </font>
    <font>
      <sz val="8"/>
      <color theme="2" tint="-0.249977111117893"/>
      <name val="Times New Roman"/>
    </font>
    <font>
      <sz val="8"/>
      <color theme="0" tint="-0.14999847407452621"/>
      <name val="Times New Roman"/>
    </font>
    <font>
      <b/>
      <sz val="9"/>
      <name val="Tahoma"/>
    </font>
    <font>
      <sz val="9"/>
      <name val="Tahoma"/>
    </font>
  </fonts>
  <fills count="70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indexed="26"/>
        <bgColor indexed="26"/>
      </patternFill>
    </fill>
    <fill>
      <patternFill patternType="solid">
        <fgColor rgb="FFC6EFCE"/>
        <bgColor rgb="FFC6EFCE"/>
      </patternFill>
    </fill>
    <fill>
      <patternFill patternType="solid">
        <fgColor indexed="47"/>
        <bgColor indexed="47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00B0F0"/>
        <bgColor rgb="FF00B0F0"/>
      </patternFill>
    </fill>
    <fill>
      <patternFill patternType="solid">
        <fgColor indexed="65"/>
      </patternFill>
    </fill>
    <fill>
      <patternFill patternType="solid">
        <fgColor rgb="FFFF6964"/>
        <bgColor rgb="FFFF6964"/>
      </patternFill>
    </fill>
    <fill>
      <patternFill patternType="solid">
        <fgColor indexed="5"/>
        <bgColor indexed="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rgb="FFF8CBAD"/>
        <bgColor rgb="FFF8CBAD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DEEBF7"/>
        <bgColor rgb="FFDEEBF7"/>
      </patternFill>
    </fill>
    <fill>
      <patternFill patternType="solid">
        <fgColor rgb="FFE1C9F5"/>
        <bgColor rgb="FFE1C9F5"/>
      </patternFill>
    </fill>
    <fill>
      <patternFill patternType="solid">
        <fgColor rgb="FFF4AF81"/>
        <bgColor rgb="FFF4AF81"/>
      </patternFill>
    </fill>
    <fill>
      <patternFill patternType="solid">
        <fgColor rgb="FF8FAADC"/>
        <bgColor rgb="FF8FAADC"/>
      </patternFill>
    </fill>
    <fill>
      <patternFill patternType="solid">
        <fgColor rgb="FFA8DCFF"/>
        <bgColor rgb="FFA8DCFF"/>
      </patternFill>
    </fill>
    <fill>
      <patternFill patternType="solid">
        <fgColor rgb="FF7EDD9C"/>
        <bgColor rgb="FF7EDD9C"/>
      </patternFill>
    </fill>
    <fill>
      <patternFill patternType="solid">
        <fgColor rgb="FFFFC000"/>
        <bgColor rgb="FFFFC000"/>
      </patternFill>
    </fill>
    <fill>
      <patternFill patternType="solid">
        <fgColor indexed="2"/>
        <bgColor indexed="2"/>
      </patternFill>
    </fill>
    <fill>
      <patternFill patternType="solid">
        <fgColor rgb="FF92D050"/>
        <bgColor rgb="FF92D050"/>
      </patternFill>
    </fill>
    <fill>
      <patternFill patternType="solid">
        <fgColor rgb="FF97C3D1"/>
        <bgColor rgb="FF97C3D1"/>
      </patternFill>
    </fill>
    <fill>
      <patternFill patternType="solid">
        <fgColor rgb="FFE8E8A0"/>
        <bgColor rgb="FFE8E8A0"/>
      </patternFill>
    </fill>
    <fill>
      <patternFill patternType="solid">
        <fgColor rgb="FFB598A5"/>
        <bgColor rgb="FFB598A5"/>
      </patternFill>
    </fill>
    <fill>
      <patternFill patternType="solid">
        <fgColor rgb="FFE0899F"/>
        <bgColor rgb="FFE0899F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rgb="FFD9E89C"/>
        <bgColor rgb="FFD9E89C"/>
      </patternFill>
    </fill>
    <fill>
      <patternFill patternType="solid">
        <fgColor rgb="FFF5AEAE"/>
        <bgColor rgb="FFF5AEAE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FF8800"/>
        <bgColor rgb="FFFF8800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17B86"/>
        <bgColor rgb="FFD17B86"/>
      </patternFill>
    </fill>
    <fill>
      <patternFill patternType="solid">
        <fgColor rgb="FFDDB6FF"/>
        <bgColor rgb="FFDDB6FF"/>
      </patternFill>
    </fill>
    <fill>
      <patternFill patternType="solid">
        <fgColor rgb="FFE6D8ED"/>
        <bgColor rgb="FFE6D8ED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2CC"/>
        <bgColor rgb="FFFFF2CC"/>
      </patternFill>
    </fill>
    <fill>
      <patternFill patternType="solid">
        <fgColor rgb="FFC6DEB5"/>
        <bgColor rgb="FFC6DEB5"/>
      </patternFill>
    </fill>
    <fill>
      <patternFill patternType="solid">
        <fgColor rgb="FFFFC062"/>
        <bgColor rgb="FFFFC062"/>
      </patternFill>
    </fill>
    <fill>
      <patternFill patternType="solid">
        <fgColor rgb="FFD1D1A5"/>
        <bgColor rgb="FFD1D1A5"/>
      </patternFill>
    </fill>
    <fill>
      <patternFill patternType="solid">
        <fgColor rgb="FFD1C3FA"/>
        <bgColor rgb="FFD1C3FA"/>
      </patternFill>
    </fill>
    <fill>
      <patternFill patternType="solid">
        <fgColor rgb="FF75AEC7"/>
        <bgColor rgb="FF75AEC7"/>
      </patternFill>
    </fill>
    <fill>
      <patternFill patternType="solid">
        <fgColor rgb="FFD1D181"/>
        <bgColor rgb="FFD1D181"/>
      </patternFill>
    </fill>
    <fill>
      <patternFill patternType="solid">
        <fgColor rgb="FFB1D8E6"/>
        <bgColor rgb="FFB1D8E6"/>
      </patternFill>
    </fill>
    <fill>
      <patternFill patternType="solid">
        <fgColor rgb="FFB5EBFF"/>
        <bgColor rgb="FFB5EBFF"/>
      </patternFill>
    </fill>
    <fill>
      <patternFill patternType="solid">
        <fgColor rgb="FFA6B5FF"/>
        <bgColor rgb="FFA6B5FF"/>
      </patternFill>
    </fill>
    <fill>
      <patternFill patternType="solid">
        <fgColor rgb="FFFFB0EE"/>
        <bgColor rgb="FFFFB0EE"/>
      </patternFill>
    </fill>
    <fill>
      <patternFill patternType="solid">
        <fgColor rgb="FF73FFFF"/>
        <bgColor rgb="FF73FFFF"/>
      </patternFill>
    </fill>
    <fill>
      <patternFill patternType="solid">
        <fgColor rgb="FF91FFDE"/>
        <bgColor rgb="FF91FFDE"/>
      </patternFill>
    </fill>
    <fill>
      <patternFill patternType="solid">
        <fgColor rgb="FFE2EFDA"/>
        <bgColor rgb="FFE2EFDA"/>
      </patternFill>
    </fill>
    <fill>
      <patternFill patternType="solid">
        <fgColor rgb="FFE2EFD8"/>
        <bgColor rgb="FFE2EFD8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rgb="FFF0D9FF"/>
        <bgColor rgb="FFF0D9FF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5" tint="0.79998168889431442"/>
        <bgColor theme="0"/>
      </patternFill>
    </fill>
  </fills>
  <borders count="14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ck">
        <color auto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ck">
        <color auto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ck">
        <color auto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ck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 style="thick">
        <color auto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auto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auto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 style="medium">
        <color auto="1"/>
      </top>
      <bottom style="thin">
        <color auto="1"/>
      </bottom>
      <diagonal/>
    </border>
    <border>
      <left style="thin">
        <color theme="1"/>
      </left>
      <right style="medium">
        <color theme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auto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theme="1"/>
      </bottom>
      <diagonal/>
    </border>
    <border>
      <left style="thin">
        <color rgb="FFB2B2B2"/>
      </left>
      <right style="thin">
        <color rgb="FFB2B2B2"/>
      </right>
      <top style="medium">
        <color theme="1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medium">
        <color theme="1"/>
      </top>
      <bottom style="thin">
        <color rgb="FF7F7F7F"/>
      </bottom>
      <diagonal/>
    </border>
    <border>
      <left/>
      <right/>
      <top style="medium">
        <color theme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auto="1"/>
      </bottom>
      <diagonal/>
    </border>
    <border>
      <left/>
      <right style="thin">
        <color theme="1"/>
      </right>
      <top style="thin">
        <color theme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 style="thin">
        <color theme="1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/>
      <bottom style="medium">
        <color theme="1"/>
      </bottom>
      <diagonal/>
    </border>
    <border>
      <left style="thin">
        <color rgb="FF7F7F7F"/>
      </left>
      <right style="thin">
        <color rgb="FF7F7F7F"/>
      </right>
      <top/>
      <bottom style="medium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theme="1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thin">
        <color auto="1"/>
      </top>
      <bottom style="medium">
        <color auto="1"/>
      </bottom>
      <diagonal/>
    </border>
    <border>
      <left style="medium">
        <color theme="1"/>
      </left>
      <right style="medium">
        <color theme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auto="1"/>
      </top>
      <bottom style="thin">
        <color theme="1"/>
      </bottom>
      <diagonal/>
    </border>
  </borders>
  <cellStyleXfs count="6">
    <xf numFmtId="0" fontId="0" fillId="0" borderId="0"/>
    <xf numFmtId="0" fontId="1" fillId="2" borderId="0" applyNumberFormat="0" applyBorder="0"/>
    <xf numFmtId="0" fontId="2" fillId="3" borderId="0" applyNumberFormat="0" applyBorder="0"/>
    <xf numFmtId="0" fontId="3" fillId="4" borderId="1" applyNumberFormat="0" applyFont="0"/>
    <xf numFmtId="0" fontId="4" fillId="5" borderId="0" applyNumberFormat="0" applyBorder="0"/>
    <xf numFmtId="0" fontId="5" fillId="6" borderId="2" applyNumberFormat="0"/>
  </cellStyleXfs>
  <cellXfs count="1470">
    <xf numFmtId="0" fontId="0" fillId="0" borderId="0" xfId="0"/>
    <xf numFmtId="0" fontId="6" fillId="0" borderId="0" xfId="0" applyFont="1"/>
    <xf numFmtId="0" fontId="8" fillId="8" borderId="6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2" fontId="9" fillId="0" borderId="6" xfId="0" applyNumberFormat="1" applyFont="1" applyBorder="1" applyAlignment="1">
      <alignment horizontal="center" vertical="center"/>
    </xf>
    <xf numFmtId="0" fontId="9" fillId="9" borderId="6" xfId="0" applyFont="1" applyFill="1" applyBorder="1" applyAlignment="1">
      <alignment vertical="center" wrapText="1"/>
    </xf>
    <xf numFmtId="0" fontId="9" fillId="0" borderId="6" xfId="0" applyFont="1" applyBorder="1" applyAlignment="1">
      <alignment vertical="center"/>
    </xf>
    <xf numFmtId="0" fontId="9" fillId="9" borderId="6" xfId="0" applyFont="1" applyFill="1" applyBorder="1" applyAlignment="1">
      <alignment vertical="center"/>
    </xf>
    <xf numFmtId="2" fontId="9" fillId="9" borderId="6" xfId="0" applyNumberFormat="1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vertical="center"/>
    </xf>
    <xf numFmtId="2" fontId="9" fillId="9" borderId="7" xfId="0" applyNumberFormat="1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vertical="center" wrapText="1"/>
    </xf>
    <xf numFmtId="2" fontId="9" fillId="0" borderId="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2" fontId="9" fillId="0" borderId="10" xfId="0" applyNumberFormat="1" applyFont="1" applyBorder="1" applyAlignment="1">
      <alignment horizontal="center" vertical="center"/>
    </xf>
    <xf numFmtId="1" fontId="9" fillId="9" borderId="8" xfId="0" applyNumberFormat="1" applyFont="1" applyFill="1" applyBorder="1" applyAlignment="1">
      <alignment horizontal="center" vertical="center"/>
    </xf>
    <xf numFmtId="0" fontId="9" fillId="0" borderId="10" xfId="0" applyFont="1" applyBorder="1"/>
    <xf numFmtId="0" fontId="6" fillId="0" borderId="11" xfId="0" applyFont="1" applyBorder="1"/>
    <xf numFmtId="0" fontId="9" fillId="0" borderId="0" xfId="0" applyFont="1" applyAlignment="1">
      <alignment vertical="center"/>
    </xf>
    <xf numFmtId="0" fontId="9" fillId="9" borderId="0" xfId="0" applyFont="1" applyFill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11" xfId="0" applyBorder="1"/>
    <xf numFmtId="0" fontId="11" fillId="10" borderId="12" xfId="0" applyFont="1" applyFill="1" applyBorder="1" applyAlignment="1">
      <alignment horizontal="center"/>
    </xf>
    <xf numFmtId="0" fontId="11" fillId="10" borderId="13" xfId="0" applyFont="1" applyFill="1" applyBorder="1" applyAlignment="1">
      <alignment horizontal="center"/>
    </xf>
    <xf numFmtId="0" fontId="11" fillId="10" borderId="14" xfId="0" applyFont="1" applyFill="1" applyBorder="1" applyAlignment="1">
      <alignment horizontal="center"/>
    </xf>
    <xf numFmtId="0" fontId="11" fillId="11" borderId="15" xfId="0" applyFont="1" applyFill="1" applyBorder="1" applyAlignment="1">
      <alignment horizontal="center"/>
    </xf>
    <xf numFmtId="0" fontId="11" fillId="11" borderId="13" xfId="0" applyFont="1" applyFill="1" applyBorder="1" applyAlignment="1">
      <alignment horizontal="center"/>
    </xf>
    <xf numFmtId="0" fontId="11" fillId="11" borderId="14" xfId="0" applyFont="1" applyFill="1" applyBorder="1" applyAlignment="1">
      <alignment horizontal="center"/>
    </xf>
    <xf numFmtId="0" fontId="11" fillId="12" borderId="15" xfId="0" applyFont="1" applyFill="1" applyBorder="1" applyAlignment="1">
      <alignment horizontal="center"/>
    </xf>
    <xf numFmtId="0" fontId="11" fillId="12" borderId="13" xfId="0" applyFont="1" applyFill="1" applyBorder="1" applyAlignment="1">
      <alignment horizontal="center"/>
    </xf>
    <xf numFmtId="0" fontId="11" fillId="12" borderId="14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9" borderId="13" xfId="0" applyFont="1" applyFill="1" applyBorder="1" applyAlignment="1">
      <alignment horizontal="center"/>
    </xf>
    <xf numFmtId="0" fontId="11" fillId="8" borderId="16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1" fillId="10" borderId="17" xfId="0" applyFont="1" applyFill="1" applyBorder="1" applyAlignment="1">
      <alignment horizontal="center"/>
    </xf>
    <xf numFmtId="0" fontId="11" fillId="10" borderId="18" xfId="0" applyFont="1" applyFill="1" applyBorder="1" applyAlignment="1">
      <alignment horizontal="center"/>
    </xf>
    <xf numFmtId="0" fontId="11" fillId="10" borderId="7" xfId="0" applyFont="1" applyFill="1" applyBorder="1" applyAlignment="1">
      <alignment horizontal="center"/>
    </xf>
    <xf numFmtId="0" fontId="11" fillId="10" borderId="19" xfId="0" applyFont="1" applyFill="1" applyBorder="1" applyAlignment="1">
      <alignment horizontal="center"/>
    </xf>
    <xf numFmtId="0" fontId="11" fillId="11" borderId="20" xfId="0" applyFont="1" applyFill="1" applyBorder="1" applyAlignment="1">
      <alignment horizontal="center"/>
    </xf>
    <xf numFmtId="0" fontId="11" fillId="11" borderId="7" xfId="0" applyFont="1" applyFill="1" applyBorder="1" applyAlignment="1">
      <alignment horizontal="center"/>
    </xf>
    <xf numFmtId="0" fontId="11" fillId="11" borderId="18" xfId="0" applyFont="1" applyFill="1" applyBorder="1" applyAlignment="1">
      <alignment horizontal="center"/>
    </xf>
    <xf numFmtId="0" fontId="11" fillId="11" borderId="21" xfId="0" applyFont="1" applyFill="1" applyBorder="1" applyAlignment="1">
      <alignment horizontal="center"/>
    </xf>
    <xf numFmtId="0" fontId="11" fillId="12" borderId="22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21" xfId="0" applyFont="1" applyFill="1" applyBorder="1" applyAlignment="1">
      <alignment horizontal="center"/>
    </xf>
    <xf numFmtId="0" fontId="11" fillId="9" borderId="22" xfId="0" applyFont="1" applyFill="1" applyBorder="1" applyAlignment="1">
      <alignment horizontal="center"/>
    </xf>
    <xf numFmtId="0" fontId="11" fillId="9" borderId="18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3" fillId="9" borderId="24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3" fillId="13" borderId="25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13" fillId="9" borderId="27" xfId="0" applyFont="1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2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5" fillId="8" borderId="29" xfId="0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3" fillId="9" borderId="12" xfId="0" applyFont="1" applyFill="1" applyBorder="1" applyAlignment="1">
      <alignment horizontal="center" vertical="center"/>
    </xf>
    <xf numFmtId="0" fontId="13" fillId="9" borderId="30" xfId="0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/>
    </xf>
    <xf numFmtId="0" fontId="13" fillId="14" borderId="13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31" xfId="0" applyFont="1" applyFill="1" applyBorder="1" applyAlignment="1">
      <alignment horizontal="center" vertical="center"/>
    </xf>
    <xf numFmtId="0" fontId="13" fillId="9" borderId="32" xfId="0" applyFont="1" applyFill="1" applyBorder="1" applyAlignment="1">
      <alignment horizontal="center" vertical="center"/>
    </xf>
    <xf numFmtId="0" fontId="15" fillId="8" borderId="16" xfId="0" applyFont="1" applyFill="1" applyBorder="1" applyAlignment="1">
      <alignment horizontal="center" vertical="center"/>
    </xf>
    <xf numFmtId="0" fontId="13" fillId="9" borderId="33" xfId="0" applyFont="1" applyFill="1" applyBorder="1" applyAlignment="1">
      <alignment horizontal="center" vertical="center"/>
    </xf>
    <xf numFmtId="0" fontId="13" fillId="9" borderId="34" xfId="0" applyFont="1" applyFill="1" applyBorder="1" applyAlignment="1">
      <alignment horizontal="center" vertical="center"/>
    </xf>
    <xf numFmtId="0" fontId="13" fillId="9" borderId="35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2" fillId="3" borderId="6" xfId="2" applyFont="1" applyFill="1" applyBorder="1" applyAlignment="1">
      <alignment horizontal="center" vertical="center"/>
    </xf>
    <xf numFmtId="0" fontId="13" fillId="14" borderId="6" xfId="0" applyFont="1" applyFill="1" applyBorder="1" applyAlignment="1">
      <alignment horizontal="center" vertical="center"/>
    </xf>
    <xf numFmtId="0" fontId="13" fillId="9" borderId="36" xfId="0" applyFont="1" applyFill="1" applyBorder="1" applyAlignment="1">
      <alignment horizontal="center" vertical="center"/>
    </xf>
    <xf numFmtId="0" fontId="16" fillId="8" borderId="16" xfId="0" applyFont="1" applyFill="1" applyBorder="1" applyAlignment="1">
      <alignment horizontal="center" vertical="center"/>
    </xf>
    <xf numFmtId="0" fontId="13" fillId="9" borderId="20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6" fillId="8" borderId="29" xfId="0" applyFont="1" applyFill="1" applyBorder="1" applyAlignment="1">
      <alignment horizontal="center" vertical="center"/>
    </xf>
    <xf numFmtId="0" fontId="13" fillId="9" borderId="37" xfId="0" applyFont="1" applyFill="1" applyBorder="1" applyAlignment="1">
      <alignment horizontal="center" vertical="center"/>
    </xf>
    <xf numFmtId="0" fontId="15" fillId="13" borderId="38" xfId="2" applyFont="1" applyFill="1" applyBorder="1" applyAlignment="1">
      <alignment horizontal="center" vertical="center"/>
    </xf>
    <xf numFmtId="0" fontId="13" fillId="14" borderId="25" xfId="0" applyFont="1" applyFill="1" applyBorder="1" applyAlignment="1">
      <alignment horizontal="center" vertical="center"/>
    </xf>
    <xf numFmtId="0" fontId="13" fillId="9" borderId="22" xfId="0" applyFont="1" applyFill="1" applyBorder="1" applyAlignment="1">
      <alignment horizontal="center" vertical="center"/>
    </xf>
    <xf numFmtId="0" fontId="13" fillId="14" borderId="18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3" fillId="9" borderId="39" xfId="0" applyFont="1" applyFill="1" applyBorder="1" applyAlignment="1">
      <alignment horizontal="center" vertical="center"/>
    </xf>
    <xf numFmtId="0" fontId="13" fillId="9" borderId="40" xfId="0" applyFont="1" applyFill="1" applyBorder="1" applyAlignment="1">
      <alignment horizontal="center" vertical="center"/>
    </xf>
    <xf numFmtId="0" fontId="16" fillId="8" borderId="23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 vertical="center"/>
    </xf>
    <xf numFmtId="0" fontId="13" fillId="9" borderId="19" xfId="0" applyFont="1" applyFill="1" applyBorder="1" applyAlignment="1">
      <alignment horizontal="center" vertical="center"/>
    </xf>
    <xf numFmtId="0" fontId="16" fillId="13" borderId="25" xfId="0" applyFont="1" applyFill="1" applyBorder="1" applyAlignment="1">
      <alignment horizontal="center" vertical="center"/>
    </xf>
    <xf numFmtId="0" fontId="13" fillId="9" borderId="42" xfId="0" applyFont="1" applyFill="1" applyBorder="1" applyAlignment="1">
      <alignment horizontal="center" vertical="center"/>
    </xf>
    <xf numFmtId="0" fontId="13" fillId="9" borderId="43" xfId="0" applyFont="1" applyFill="1" applyBorder="1" applyAlignment="1">
      <alignment horizontal="center" vertical="center"/>
    </xf>
    <xf numFmtId="0" fontId="13" fillId="9" borderId="38" xfId="0" applyFont="1" applyFill="1" applyBorder="1" applyAlignment="1">
      <alignment horizontal="center" vertical="center"/>
    </xf>
    <xf numFmtId="0" fontId="13" fillId="9" borderId="44" xfId="0" applyFont="1" applyFill="1" applyBorder="1" applyAlignment="1">
      <alignment horizontal="center" vertical="center"/>
    </xf>
    <xf numFmtId="0" fontId="13" fillId="9" borderId="45" xfId="0" applyFont="1" applyFill="1" applyBorder="1" applyAlignment="1">
      <alignment horizontal="center" vertical="center"/>
    </xf>
    <xf numFmtId="0" fontId="13" fillId="9" borderId="46" xfId="0" applyFont="1" applyFill="1" applyBorder="1" applyAlignment="1">
      <alignment horizontal="center" vertical="center"/>
    </xf>
    <xf numFmtId="0" fontId="13" fillId="13" borderId="26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47" xfId="0" applyFont="1" applyFill="1" applyBorder="1" applyAlignment="1">
      <alignment horizontal="center" vertical="center"/>
    </xf>
    <xf numFmtId="0" fontId="13" fillId="9" borderId="48" xfId="0" applyFont="1" applyFill="1" applyBorder="1" applyAlignment="1">
      <alignment horizontal="center" vertical="center"/>
    </xf>
    <xf numFmtId="0" fontId="2" fillId="3" borderId="5" xfId="2" applyFont="1" applyFill="1" applyBorder="1" applyAlignment="1">
      <alignment horizontal="center" vertical="center"/>
    </xf>
    <xf numFmtId="0" fontId="13" fillId="9" borderId="49" xfId="0" applyFont="1" applyFill="1" applyBorder="1" applyAlignment="1">
      <alignment horizontal="center" vertical="center"/>
    </xf>
    <xf numFmtId="0" fontId="2" fillId="3" borderId="25" xfId="2" applyFont="1" applyFill="1" applyBorder="1" applyAlignment="1">
      <alignment horizontal="center" vertical="center"/>
    </xf>
    <xf numFmtId="0" fontId="2" fillId="3" borderId="26" xfId="2" applyFont="1" applyFill="1" applyBorder="1" applyAlignment="1">
      <alignment horizontal="center" vertical="center"/>
    </xf>
    <xf numFmtId="0" fontId="16" fillId="8" borderId="50" xfId="0" applyFont="1" applyFill="1" applyBorder="1" applyAlignment="1">
      <alignment horizontal="center" vertical="center"/>
    </xf>
    <xf numFmtId="2" fontId="3" fillId="0" borderId="51" xfId="0" applyNumberFormat="1" applyFont="1" applyBorder="1" applyAlignment="1">
      <alignment horizontal="center"/>
    </xf>
    <xf numFmtId="2" fontId="3" fillId="0" borderId="25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1" fillId="9" borderId="53" xfId="0" applyFont="1" applyFill="1" applyBorder="1" applyAlignment="1">
      <alignment horizontal="center"/>
    </xf>
    <xf numFmtId="0" fontId="11" fillId="9" borderId="12" xfId="0" applyFont="1" applyFill="1" applyBorder="1" applyAlignment="1">
      <alignment horizontal="center"/>
    </xf>
    <xf numFmtId="0" fontId="11" fillId="15" borderId="13" xfId="0" applyFont="1" applyFill="1" applyBorder="1" applyAlignment="1">
      <alignment horizontal="center"/>
    </xf>
    <xf numFmtId="0" fontId="11" fillId="9" borderId="54" xfId="0" applyFont="1" applyFill="1" applyBorder="1" applyAlignment="1">
      <alignment horizontal="center" vertical="center"/>
    </xf>
    <xf numFmtId="0" fontId="11" fillId="9" borderId="17" xfId="0" applyFont="1" applyFill="1" applyBorder="1" applyAlignment="1">
      <alignment horizontal="center"/>
    </xf>
    <xf numFmtId="0" fontId="20" fillId="9" borderId="18" xfId="0" applyFont="1" applyFill="1" applyBorder="1" applyAlignment="1">
      <alignment horizontal="center"/>
    </xf>
    <xf numFmtId="0" fontId="11" fillId="15" borderId="18" xfId="0" applyFont="1" applyFill="1" applyBorder="1" applyAlignment="1">
      <alignment horizontal="center"/>
    </xf>
    <xf numFmtId="49" fontId="21" fillId="9" borderId="16" xfId="0" applyNumberFormat="1" applyFont="1" applyFill="1" applyBorder="1" applyAlignment="1">
      <alignment horizontal="center" vertical="top" wrapText="1"/>
    </xf>
    <xf numFmtId="0" fontId="14" fillId="9" borderId="55" xfId="0" applyFont="1" applyFill="1" applyBorder="1" applyAlignment="1">
      <alignment horizontal="left" vertical="top" wrapText="1"/>
    </xf>
    <xf numFmtId="0" fontId="13" fillId="15" borderId="6" xfId="0" applyFont="1" applyFill="1" applyBorder="1" applyAlignment="1">
      <alignment horizontal="center" vertical="center"/>
    </xf>
    <xf numFmtId="49" fontId="21" fillId="9" borderId="29" xfId="0" applyNumberFormat="1" applyFont="1" applyFill="1" applyBorder="1" applyAlignment="1">
      <alignment horizontal="center" vertical="top" wrapText="1"/>
    </xf>
    <xf numFmtId="0" fontId="6" fillId="0" borderId="56" xfId="0" applyFont="1" applyBorder="1" applyAlignment="1">
      <alignment horizontal="left" wrapText="1"/>
    </xf>
    <xf numFmtId="0" fontId="13" fillId="15" borderId="8" xfId="0" applyFont="1" applyFill="1" applyBorder="1" applyAlignment="1">
      <alignment horizontal="center" vertical="center"/>
    </xf>
    <xf numFmtId="49" fontId="21" fillId="9" borderId="50" xfId="0" applyNumberFormat="1" applyFont="1" applyFill="1" applyBorder="1" applyAlignment="1">
      <alignment horizontal="center" vertical="top" wrapText="1"/>
    </xf>
    <xf numFmtId="0" fontId="13" fillId="9" borderId="0" xfId="0" applyFont="1" applyFill="1" applyAlignment="1">
      <alignment horizontal="center" vertical="center"/>
    </xf>
    <xf numFmtId="49" fontId="21" fillId="9" borderId="57" xfId="0" applyNumberFormat="1" applyFont="1" applyFill="1" applyBorder="1" applyAlignment="1">
      <alignment horizontal="center" vertical="top" wrapText="1"/>
    </xf>
    <xf numFmtId="0" fontId="22" fillId="9" borderId="55" xfId="0" applyFont="1" applyFill="1" applyBorder="1" applyAlignment="1">
      <alignment horizontal="left" vertical="top" wrapText="1"/>
    </xf>
    <xf numFmtId="49" fontId="21" fillId="9" borderId="58" xfId="0" applyNumberFormat="1" applyFont="1" applyFill="1" applyBorder="1" applyAlignment="1">
      <alignment horizontal="center" vertical="top" wrapText="1"/>
    </xf>
    <xf numFmtId="0" fontId="14" fillId="9" borderId="59" xfId="0" applyFont="1" applyFill="1" applyBorder="1" applyAlignment="1">
      <alignment horizontal="left" vertical="top" wrapText="1"/>
    </xf>
    <xf numFmtId="0" fontId="13" fillId="15" borderId="47" xfId="0" applyFont="1" applyFill="1" applyBorder="1" applyAlignment="1">
      <alignment horizontal="center" vertical="center"/>
    </xf>
    <xf numFmtId="49" fontId="21" fillId="9" borderId="60" xfId="0" applyNumberFormat="1" applyFont="1" applyFill="1" applyBorder="1" applyAlignment="1">
      <alignment horizontal="center" vertical="top" wrapText="1"/>
    </xf>
    <xf numFmtId="0" fontId="14" fillId="9" borderId="56" xfId="0" applyFont="1" applyFill="1" applyBorder="1" applyAlignment="1">
      <alignment horizontal="left" vertical="top" wrapText="1"/>
    </xf>
    <xf numFmtId="0" fontId="14" fillId="9" borderId="54" xfId="0" applyFont="1" applyFill="1" applyBorder="1" applyAlignment="1">
      <alignment horizontal="left" vertical="top" wrapText="1"/>
    </xf>
    <xf numFmtId="0" fontId="13" fillId="15" borderId="18" xfId="0" applyFont="1" applyFill="1" applyBorder="1" applyAlignment="1">
      <alignment horizontal="center" vertical="center"/>
    </xf>
    <xf numFmtId="0" fontId="16" fillId="13" borderId="35" xfId="0" applyFont="1" applyFill="1" applyBorder="1" applyAlignment="1">
      <alignment horizontal="center" vertical="center"/>
    </xf>
    <xf numFmtId="49" fontId="21" fillId="9" borderId="61" xfId="0" applyNumberFormat="1" applyFont="1" applyFill="1" applyBorder="1" applyAlignment="1">
      <alignment horizontal="center" vertical="top" wrapText="1"/>
    </xf>
    <xf numFmtId="0" fontId="13" fillId="9" borderId="62" xfId="0" applyFont="1" applyFill="1" applyBorder="1" applyAlignment="1">
      <alignment horizontal="center" vertical="center"/>
    </xf>
    <xf numFmtId="49" fontId="21" fillId="9" borderId="63" xfId="0" applyNumberFormat="1" applyFont="1" applyFill="1" applyBorder="1" applyAlignment="1">
      <alignment horizontal="center" vertical="top" wrapText="1"/>
    </xf>
    <xf numFmtId="0" fontId="6" fillId="9" borderId="35" xfId="0" applyFont="1" applyFill="1" applyBorder="1" applyAlignment="1">
      <alignment horizontal="center" vertical="center"/>
    </xf>
    <xf numFmtId="49" fontId="21" fillId="9" borderId="64" xfId="0" applyNumberFormat="1" applyFont="1" applyFill="1" applyBorder="1" applyAlignment="1">
      <alignment horizontal="center" vertical="top" wrapText="1"/>
    </xf>
    <xf numFmtId="0" fontId="23" fillId="9" borderId="55" xfId="0" applyFont="1" applyFill="1" applyBorder="1" applyAlignment="1">
      <alignment horizontal="left" vertical="top" wrapText="1"/>
    </xf>
    <xf numFmtId="0" fontId="24" fillId="9" borderId="5" xfId="0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horizontal="center" vertical="center"/>
    </xf>
    <xf numFmtId="0" fontId="24" fillId="9" borderId="8" xfId="0" applyFont="1" applyFill="1" applyBorder="1" applyAlignment="1">
      <alignment horizontal="center" vertical="center"/>
    </xf>
    <xf numFmtId="0" fontId="24" fillId="15" borderId="6" xfId="0" applyFont="1" applyFill="1" applyBorder="1" applyAlignment="1">
      <alignment horizontal="center" vertical="center"/>
    </xf>
    <xf numFmtId="0" fontId="13" fillId="15" borderId="7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/>
    </xf>
    <xf numFmtId="0" fontId="0" fillId="0" borderId="6" xfId="0" applyBorder="1"/>
    <xf numFmtId="0" fontId="0" fillId="15" borderId="0" xfId="0" applyFill="1"/>
    <xf numFmtId="0" fontId="0" fillId="0" borderId="6" xfId="0" applyBorder="1" applyAlignment="1">
      <alignment wrapText="1"/>
    </xf>
    <xf numFmtId="0" fontId="26" fillId="0" borderId="6" xfId="0" applyFont="1" applyBorder="1" applyAlignment="1">
      <alignment horizontal="left"/>
    </xf>
    <xf numFmtId="0" fontId="27" fillId="19" borderId="66" xfId="0" applyFont="1" applyFill="1" applyBorder="1" applyAlignment="1">
      <alignment horizontal="center"/>
    </xf>
    <xf numFmtId="0" fontId="27" fillId="9" borderId="13" xfId="0" applyFont="1" applyFill="1" applyBorder="1" applyAlignment="1">
      <alignment horizontal="center"/>
    </xf>
    <xf numFmtId="0" fontId="27" fillId="9" borderId="31" xfId="0" applyFont="1" applyFill="1" applyBorder="1" applyAlignment="1">
      <alignment horizontal="center"/>
    </xf>
    <xf numFmtId="0" fontId="11" fillId="8" borderId="53" xfId="0" applyFont="1" applyFill="1" applyBorder="1" applyAlignment="1">
      <alignment horizontal="center"/>
    </xf>
    <xf numFmtId="0" fontId="27" fillId="9" borderId="17" xfId="0" applyFont="1" applyFill="1" applyBorder="1" applyAlignment="1">
      <alignment horizontal="center"/>
    </xf>
    <xf numFmtId="0" fontId="27" fillId="9" borderId="67" xfId="0" applyFont="1" applyFill="1" applyBorder="1" applyAlignment="1">
      <alignment horizontal="center"/>
    </xf>
    <xf numFmtId="0" fontId="27" fillId="9" borderId="22" xfId="0" applyFont="1" applyFill="1" applyBorder="1" applyAlignment="1">
      <alignment horizontal="center"/>
    </xf>
    <xf numFmtId="0" fontId="27" fillId="9" borderId="23" xfId="0" applyFont="1" applyFill="1" applyBorder="1" applyAlignment="1">
      <alignment horizontal="center"/>
    </xf>
    <xf numFmtId="0" fontId="27" fillId="9" borderId="18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27" fillId="21" borderId="18" xfId="0" applyFont="1" applyFill="1" applyBorder="1" applyAlignment="1">
      <alignment horizontal="center"/>
    </xf>
    <xf numFmtId="0" fontId="27" fillId="22" borderId="18" xfId="0" applyFont="1" applyFill="1" applyBorder="1" applyAlignment="1">
      <alignment horizontal="center"/>
    </xf>
    <xf numFmtId="0" fontId="27" fillId="22" borderId="22" xfId="0" applyFont="1" applyFill="1" applyBorder="1" applyAlignment="1">
      <alignment horizontal="center"/>
    </xf>
    <xf numFmtId="0" fontId="27" fillId="21" borderId="23" xfId="0" applyFont="1" applyFill="1" applyBorder="1" applyAlignment="1">
      <alignment horizontal="center"/>
    </xf>
    <xf numFmtId="0" fontId="27" fillId="21" borderId="22" xfId="0" applyFont="1" applyFill="1" applyBorder="1" applyAlignment="1">
      <alignment horizontal="center"/>
    </xf>
    <xf numFmtId="0" fontId="27" fillId="9" borderId="68" xfId="0" applyFont="1" applyFill="1" applyBorder="1" applyAlignment="1">
      <alignment horizontal="center"/>
    </xf>
    <xf numFmtId="0" fontId="11" fillId="8" borderId="54" xfId="0" applyFont="1" applyFill="1" applyBorder="1" applyAlignment="1">
      <alignment horizontal="center"/>
    </xf>
    <xf numFmtId="0" fontId="28" fillId="9" borderId="5" xfId="0" applyFont="1" applyFill="1" applyBorder="1" applyAlignment="1">
      <alignment horizontal="center" vertical="center"/>
    </xf>
    <xf numFmtId="0" fontId="4" fillId="5" borderId="6" xfId="4" applyFont="1" applyFill="1" applyBorder="1" applyAlignment="1">
      <alignment horizontal="center" vertical="center"/>
    </xf>
    <xf numFmtId="0" fontId="28" fillId="9" borderId="6" xfId="0" applyFont="1" applyFill="1" applyBorder="1" applyAlignment="1">
      <alignment horizontal="center" vertical="center"/>
    </xf>
    <xf numFmtId="0" fontId="28" fillId="9" borderId="3" xfId="0" applyFont="1" applyFill="1" applyBorder="1" applyAlignment="1">
      <alignment horizontal="center" vertical="center"/>
    </xf>
    <xf numFmtId="0" fontId="28" fillId="23" borderId="24" xfId="0" applyFont="1" applyFill="1" applyBorder="1" applyAlignment="1">
      <alignment horizontal="center" vertical="center"/>
    </xf>
    <xf numFmtId="0" fontId="28" fillId="9" borderId="29" xfId="0" applyFont="1" applyFill="1" applyBorder="1" applyAlignment="1">
      <alignment horizontal="center" vertical="center"/>
    </xf>
    <xf numFmtId="0" fontId="28" fillId="8" borderId="29" xfId="0" applyFont="1" applyFill="1" applyBorder="1" applyAlignment="1">
      <alignment horizontal="center" vertical="center"/>
    </xf>
    <xf numFmtId="0" fontId="4" fillId="5" borderId="5" xfId="4" applyFont="1" applyFill="1" applyBorder="1" applyAlignment="1">
      <alignment horizontal="center" vertical="center"/>
    </xf>
    <xf numFmtId="0" fontId="28" fillId="22" borderId="6" xfId="0" applyFont="1" applyFill="1" applyBorder="1" applyAlignment="1">
      <alignment horizontal="center" vertical="center"/>
    </xf>
    <xf numFmtId="0" fontId="28" fillId="21" borderId="6" xfId="0" applyFont="1" applyFill="1" applyBorder="1" applyAlignment="1">
      <alignment horizontal="center" vertical="center"/>
    </xf>
    <xf numFmtId="0" fontId="28" fillId="22" borderId="5" xfId="0" applyFont="1" applyFill="1" applyBorder="1" applyAlignment="1">
      <alignment horizontal="center" vertical="center"/>
    </xf>
    <xf numFmtId="0" fontId="28" fillId="21" borderId="29" xfId="0" applyFont="1" applyFill="1" applyBorder="1" applyAlignment="1">
      <alignment horizontal="center" vertical="center"/>
    </xf>
    <xf numFmtId="0" fontId="28" fillId="21" borderId="5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69" xfId="0" applyFont="1" applyFill="1" applyBorder="1" applyAlignment="1">
      <alignment horizontal="center" vertical="center"/>
    </xf>
    <xf numFmtId="0" fontId="15" fillId="8" borderId="55" xfId="0" applyFont="1" applyFill="1" applyBorder="1" applyAlignment="1">
      <alignment horizontal="center" vertical="center"/>
    </xf>
    <xf numFmtId="0" fontId="6" fillId="0" borderId="55" xfId="0" applyFont="1" applyBorder="1" applyAlignment="1">
      <alignment horizontal="left" wrapText="1"/>
    </xf>
    <xf numFmtId="49" fontId="21" fillId="9" borderId="70" xfId="0" applyNumberFormat="1" applyFont="1" applyFill="1" applyBorder="1" applyAlignment="1">
      <alignment horizontal="center" vertical="top" wrapText="1"/>
    </xf>
    <xf numFmtId="0" fontId="4" fillId="5" borderId="29" xfId="4" applyFont="1" applyFill="1" applyBorder="1" applyAlignment="1">
      <alignment horizontal="center" vertical="center"/>
    </xf>
    <xf numFmtId="0" fontId="28" fillId="9" borderId="39" xfId="0" applyFont="1" applyFill="1" applyBorder="1" applyAlignment="1">
      <alignment horizontal="center" vertical="center"/>
    </xf>
    <xf numFmtId="0" fontId="28" fillId="9" borderId="47" xfId="0" applyFont="1" applyFill="1" applyBorder="1" applyAlignment="1">
      <alignment horizontal="center" vertical="center"/>
    </xf>
    <xf numFmtId="0" fontId="28" fillId="9" borderId="71" xfId="0" applyFont="1" applyFill="1" applyBorder="1" applyAlignment="1">
      <alignment horizontal="center" vertical="center"/>
    </xf>
    <xf numFmtId="0" fontId="28" fillId="23" borderId="72" xfId="0" applyFont="1" applyFill="1" applyBorder="1" applyAlignment="1">
      <alignment horizontal="center" vertical="center"/>
    </xf>
    <xf numFmtId="0" fontId="4" fillId="5" borderId="73" xfId="4" applyFont="1" applyFill="1" applyBorder="1" applyAlignment="1">
      <alignment horizontal="center" vertical="center"/>
    </xf>
    <xf numFmtId="0" fontId="28" fillId="8" borderId="73" xfId="0" applyFont="1" applyFill="1" applyBorder="1" applyAlignment="1">
      <alignment horizontal="center" vertical="center"/>
    </xf>
    <xf numFmtId="0" fontId="28" fillId="21" borderId="47" xfId="0" applyFont="1" applyFill="1" applyBorder="1" applyAlignment="1">
      <alignment horizontal="center" vertical="center"/>
    </xf>
    <xf numFmtId="0" fontId="28" fillId="22" borderId="47" xfId="0" applyFont="1" applyFill="1" applyBorder="1" applyAlignment="1">
      <alignment horizontal="center" vertical="center"/>
    </xf>
    <xf numFmtId="0" fontId="28" fillId="9" borderId="73" xfId="0" applyFont="1" applyFill="1" applyBorder="1" applyAlignment="1">
      <alignment horizontal="center" vertical="center"/>
    </xf>
    <xf numFmtId="0" fontId="28" fillId="22" borderId="39" xfId="0" applyFont="1" applyFill="1" applyBorder="1" applyAlignment="1">
      <alignment horizontal="center" vertical="center"/>
    </xf>
    <xf numFmtId="0" fontId="28" fillId="21" borderId="73" xfId="0" applyFont="1" applyFill="1" applyBorder="1" applyAlignment="1">
      <alignment horizontal="center" vertical="center"/>
    </xf>
    <xf numFmtId="0" fontId="28" fillId="21" borderId="39" xfId="0" applyFont="1" applyFill="1" applyBorder="1" applyAlignment="1">
      <alignment horizontal="center" vertical="center"/>
    </xf>
    <xf numFmtId="0" fontId="28" fillId="9" borderId="18" xfId="0" applyFont="1" applyFill="1" applyBorder="1" applyAlignment="1">
      <alignment horizontal="center" vertical="center"/>
    </xf>
    <xf numFmtId="0" fontId="28" fillId="9" borderId="74" xfId="0" applyFont="1" applyFill="1" applyBorder="1" applyAlignment="1">
      <alignment horizontal="center" vertical="center"/>
    </xf>
    <xf numFmtId="0" fontId="16" fillId="8" borderId="59" xfId="0" applyFont="1" applyFill="1" applyBorder="1" applyAlignment="1">
      <alignment horizontal="center" vertical="center"/>
    </xf>
    <xf numFmtId="0" fontId="28" fillId="9" borderId="41" xfId="0" applyFont="1" applyFill="1" applyBorder="1" applyAlignment="1">
      <alignment horizontal="center" vertical="center"/>
    </xf>
    <xf numFmtId="0" fontId="28" fillId="9" borderId="9" xfId="0" applyFont="1" applyFill="1" applyBorder="1" applyAlignment="1">
      <alignment horizontal="center" vertical="center"/>
    </xf>
    <xf numFmtId="0" fontId="28" fillId="9" borderId="75" xfId="0" applyFont="1" applyFill="1" applyBorder="1" applyAlignment="1">
      <alignment horizontal="center" vertical="center"/>
    </xf>
    <xf numFmtId="0" fontId="28" fillId="23" borderId="76" xfId="0" applyFont="1" applyFill="1" applyBorder="1" applyAlignment="1">
      <alignment horizontal="center" vertical="center"/>
    </xf>
    <xf numFmtId="0" fontId="28" fillId="9" borderId="64" xfId="0" applyFont="1" applyFill="1" applyBorder="1" applyAlignment="1">
      <alignment horizontal="center" vertical="center"/>
    </xf>
    <xf numFmtId="0" fontId="28" fillId="8" borderId="64" xfId="0" applyFont="1" applyFill="1" applyBorder="1" applyAlignment="1">
      <alignment horizontal="center" vertical="center"/>
    </xf>
    <xf numFmtId="0" fontId="28" fillId="21" borderId="8" xfId="0" applyFont="1" applyFill="1" applyBorder="1" applyAlignment="1">
      <alignment horizontal="center" vertical="center"/>
    </xf>
    <xf numFmtId="0" fontId="28" fillId="22" borderId="8" xfId="0" applyFont="1" applyFill="1" applyBorder="1" applyAlignment="1">
      <alignment horizontal="center" vertical="center"/>
    </xf>
    <xf numFmtId="0" fontId="28" fillId="22" borderId="41" xfId="0" applyFont="1" applyFill="1" applyBorder="1" applyAlignment="1">
      <alignment horizontal="center" vertical="center"/>
    </xf>
    <xf numFmtId="0" fontId="28" fillId="21" borderId="64" xfId="0" applyFont="1" applyFill="1" applyBorder="1" applyAlignment="1">
      <alignment horizontal="center" vertical="center"/>
    </xf>
    <xf numFmtId="0" fontId="28" fillId="21" borderId="41" xfId="0" applyFont="1" applyFill="1" applyBorder="1" applyAlignment="1">
      <alignment horizontal="center" vertical="center"/>
    </xf>
    <xf numFmtId="0" fontId="28" fillId="9" borderId="13" xfId="0" applyFont="1" applyFill="1" applyBorder="1" applyAlignment="1">
      <alignment horizontal="center" vertical="center"/>
    </xf>
    <xf numFmtId="0" fontId="28" fillId="9" borderId="77" xfId="0" applyFont="1" applyFill="1" applyBorder="1" applyAlignment="1">
      <alignment horizontal="center" vertical="center"/>
    </xf>
    <xf numFmtId="0" fontId="28" fillId="9" borderId="36" xfId="0" applyFont="1" applyFill="1" applyBorder="1" applyAlignment="1">
      <alignment horizontal="center" vertical="center"/>
    </xf>
    <xf numFmtId="0" fontId="16" fillId="8" borderId="56" xfId="0" applyFont="1" applyFill="1" applyBorder="1" applyAlignment="1">
      <alignment horizontal="center" vertical="center"/>
    </xf>
    <xf numFmtId="0" fontId="4" fillId="5" borderId="3" xfId="4" applyFont="1" applyFill="1" applyBorder="1" applyAlignment="1">
      <alignment horizontal="center" vertical="center"/>
    </xf>
    <xf numFmtId="0" fontId="16" fillId="8" borderId="55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/>
    </xf>
    <xf numFmtId="0" fontId="28" fillId="9" borderId="22" xfId="0" applyFont="1" applyFill="1" applyBorder="1" applyAlignment="1">
      <alignment horizontal="center" vertical="center"/>
    </xf>
    <xf numFmtId="0" fontId="28" fillId="9" borderId="67" xfId="0" applyFont="1" applyFill="1" applyBorder="1" applyAlignment="1">
      <alignment horizontal="center" vertical="center"/>
    </xf>
    <xf numFmtId="0" fontId="28" fillId="23" borderId="17" xfId="0" applyFont="1" applyFill="1" applyBorder="1" applyAlignment="1">
      <alignment horizontal="center" vertical="center"/>
    </xf>
    <xf numFmtId="0" fontId="28" fillId="9" borderId="23" xfId="0" applyFont="1" applyFill="1" applyBorder="1" applyAlignment="1">
      <alignment horizontal="center" vertical="center"/>
    </xf>
    <xf numFmtId="0" fontId="28" fillId="8" borderId="23" xfId="0" applyFont="1" applyFill="1" applyBorder="1" applyAlignment="1">
      <alignment horizontal="center" vertical="center"/>
    </xf>
    <xf numFmtId="0" fontId="28" fillId="21" borderId="18" xfId="0" applyFont="1" applyFill="1" applyBorder="1" applyAlignment="1">
      <alignment horizontal="center" vertical="center"/>
    </xf>
    <xf numFmtId="0" fontId="28" fillId="22" borderId="18" xfId="0" applyFont="1" applyFill="1" applyBorder="1" applyAlignment="1">
      <alignment horizontal="center" vertical="center"/>
    </xf>
    <xf numFmtId="0" fontId="28" fillId="22" borderId="22" xfId="0" applyFont="1" applyFill="1" applyBorder="1" applyAlignment="1">
      <alignment horizontal="center" vertical="center"/>
    </xf>
    <xf numFmtId="0" fontId="28" fillId="21" borderId="23" xfId="0" applyFont="1" applyFill="1" applyBorder="1" applyAlignment="1">
      <alignment horizontal="center" vertical="center"/>
    </xf>
    <xf numFmtId="0" fontId="28" fillId="21" borderId="22" xfId="0" applyFont="1" applyFill="1" applyBorder="1" applyAlignment="1">
      <alignment horizontal="center" vertical="center"/>
    </xf>
    <xf numFmtId="0" fontId="28" fillId="9" borderId="68" xfId="0" applyFont="1" applyFill="1" applyBorder="1" applyAlignment="1">
      <alignment horizontal="center" vertical="center"/>
    </xf>
    <xf numFmtId="0" fontId="16" fillId="8" borderId="54" xfId="0" applyFont="1" applyFill="1" applyBorder="1" applyAlignment="1">
      <alignment horizontal="center" vertical="center"/>
    </xf>
    <xf numFmtId="0" fontId="4" fillId="5" borderId="8" xfId="4" applyFont="1" applyFill="1" applyBorder="1" applyAlignment="1">
      <alignment horizontal="center" vertical="center"/>
    </xf>
    <xf numFmtId="0" fontId="4" fillId="5" borderId="67" xfId="4" applyFont="1" applyFill="1" applyBorder="1" applyAlignment="1">
      <alignment horizontal="center" vertical="center"/>
    </xf>
    <xf numFmtId="0" fontId="4" fillId="5" borderId="18" xfId="4" applyFont="1" applyFill="1" applyBorder="1" applyAlignment="1">
      <alignment horizontal="center" vertical="center"/>
    </xf>
    <xf numFmtId="0" fontId="4" fillId="5" borderId="64" xfId="4" applyFont="1" applyFill="1" applyBorder="1" applyAlignment="1">
      <alignment horizontal="center" vertical="center"/>
    </xf>
    <xf numFmtId="0" fontId="4" fillId="5" borderId="41" xfId="4" applyFont="1" applyFill="1" applyBorder="1" applyAlignment="1">
      <alignment horizontal="center" vertical="center"/>
    </xf>
    <xf numFmtId="0" fontId="4" fillId="5" borderId="9" xfId="4" applyFont="1" applyFill="1" applyBorder="1" applyAlignment="1">
      <alignment horizontal="center" vertical="center"/>
    </xf>
    <xf numFmtId="0" fontId="4" fillId="5" borderId="78" xfId="4" applyFont="1" applyFill="1" applyBorder="1" applyAlignment="1">
      <alignment horizontal="center" vertical="center"/>
    </xf>
    <xf numFmtId="0" fontId="29" fillId="13" borderId="42" xfId="0" applyFont="1" applyFill="1" applyBorder="1" applyAlignment="1">
      <alignment horizontal="center" vertical="center"/>
    </xf>
    <xf numFmtId="0" fontId="4" fillId="5" borderId="36" xfId="4" applyFont="1" applyFill="1" applyBorder="1" applyAlignment="1">
      <alignment horizontal="center" vertical="center"/>
    </xf>
    <xf numFmtId="0" fontId="6" fillId="22" borderId="35" xfId="0" applyFont="1" applyFill="1" applyBorder="1" applyAlignment="1">
      <alignment horizontal="center" vertical="center"/>
    </xf>
    <xf numFmtId="0" fontId="28" fillId="9" borderId="7" xfId="0" applyFont="1" applyFill="1" applyBorder="1" applyAlignment="1">
      <alignment horizontal="center"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20" xfId="0" applyFont="1" applyFill="1" applyBorder="1" applyAlignment="1">
      <alignment horizontal="center" vertical="center"/>
    </xf>
    <xf numFmtId="0" fontId="28" fillId="9" borderId="37" xfId="0" applyFont="1" applyFill="1" applyBorder="1" applyAlignment="1">
      <alignment horizontal="center" vertical="center"/>
    </xf>
    <xf numFmtId="0" fontId="28" fillId="23" borderId="49" xfId="0" applyFont="1" applyFill="1" applyBorder="1" applyAlignment="1">
      <alignment horizontal="center" vertical="center"/>
    </xf>
    <xf numFmtId="0" fontId="16" fillId="13" borderId="57" xfId="0" applyFont="1" applyFill="1" applyBorder="1" applyAlignment="1">
      <alignment horizontal="center" vertical="center"/>
    </xf>
    <xf numFmtId="0" fontId="28" fillId="8" borderId="50" xfId="0" applyFont="1" applyFill="1" applyBorder="1" applyAlignment="1">
      <alignment horizontal="center" vertical="center"/>
    </xf>
    <xf numFmtId="0" fontId="28" fillId="21" borderId="7" xfId="0" applyFont="1" applyFill="1" applyBorder="1" applyAlignment="1">
      <alignment horizontal="center" vertical="center"/>
    </xf>
    <xf numFmtId="0" fontId="28" fillId="22" borderId="7" xfId="0" applyFont="1" applyFill="1" applyBorder="1" applyAlignment="1">
      <alignment horizontal="center" vertical="center"/>
    </xf>
    <xf numFmtId="0" fontId="28" fillId="22" borderId="20" xfId="0" applyFont="1" applyFill="1" applyBorder="1" applyAlignment="1">
      <alignment horizontal="center" vertical="center"/>
    </xf>
    <xf numFmtId="0" fontId="28" fillId="21" borderId="50" xfId="0" applyFont="1" applyFill="1" applyBorder="1" applyAlignment="1">
      <alignment horizontal="center" vertical="center"/>
    </xf>
    <xf numFmtId="0" fontId="28" fillId="21" borderId="20" xfId="0" applyFont="1" applyFill="1" applyBorder="1" applyAlignment="1">
      <alignment horizontal="center" vertical="center"/>
    </xf>
    <xf numFmtId="0" fontId="28" fillId="9" borderId="79" xfId="0" applyFont="1" applyFill="1" applyBorder="1" applyAlignment="1">
      <alignment horizontal="center" vertical="center"/>
    </xf>
    <xf numFmtId="0" fontId="16" fillId="8" borderId="80" xfId="0" applyFont="1" applyFill="1" applyBorder="1" applyAlignment="1">
      <alignment horizontal="center" vertical="center"/>
    </xf>
    <xf numFmtId="49" fontId="21" fillId="9" borderId="23" xfId="0" applyNumberFormat="1" applyFont="1" applyFill="1" applyBorder="1" applyAlignment="1">
      <alignment horizontal="center" vertical="top" wrapText="1"/>
    </xf>
    <xf numFmtId="0" fontId="30" fillId="0" borderId="0" xfId="0" applyFont="1" applyAlignment="1">
      <alignment horizontal="center" vertical="center" textRotation="90"/>
    </xf>
    <xf numFmtId="0" fontId="31" fillId="0" borderId="0" xfId="0" applyFont="1" applyAlignment="1">
      <alignment horizontal="center" vertical="top" textRotation="90"/>
    </xf>
    <xf numFmtId="0" fontId="30" fillId="21" borderId="8" xfId="0" applyFont="1" applyFill="1" applyBorder="1" applyAlignment="1">
      <alignment horizontal="center" vertical="center" textRotation="90"/>
    </xf>
    <xf numFmtId="0" fontId="30" fillId="22" borderId="8" xfId="0" applyFont="1" applyFill="1" applyBorder="1" applyAlignment="1">
      <alignment horizontal="center" vertical="center" textRotation="90"/>
    </xf>
    <xf numFmtId="0" fontId="30" fillId="24" borderId="8" xfId="0" applyFont="1" applyFill="1" applyBorder="1" applyAlignment="1">
      <alignment horizontal="center" vertical="center" textRotation="90"/>
    </xf>
    <xf numFmtId="0" fontId="30" fillId="0" borderId="0" xfId="0" applyFont="1" applyAlignment="1">
      <alignment textRotation="90"/>
    </xf>
    <xf numFmtId="2" fontId="3" fillId="0" borderId="34" xfId="0" applyNumberFormat="1" applyFont="1" applyBorder="1" applyAlignment="1">
      <alignment horizontal="center" vertical="top"/>
    </xf>
    <xf numFmtId="0" fontId="3" fillId="0" borderId="25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25" fillId="0" borderId="23" xfId="0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0" fontId="30" fillId="0" borderId="0" xfId="0" applyFont="1"/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" fontId="32" fillId="16" borderId="64" xfId="0" applyNumberFormat="1" applyFont="1" applyFill="1" applyBorder="1" applyAlignment="1">
      <alignment horizontal="center" vertical="center"/>
    </xf>
    <xf numFmtId="0" fontId="30" fillId="0" borderId="41" xfId="0" applyFont="1" applyBorder="1" applyAlignment="1">
      <alignment wrapText="1"/>
    </xf>
    <xf numFmtId="16" fontId="32" fillId="25" borderId="29" xfId="0" applyNumberFormat="1" applyFont="1" applyFill="1" applyBorder="1" applyAlignment="1">
      <alignment horizontal="center" vertical="center"/>
    </xf>
    <xf numFmtId="0" fontId="30" fillId="0" borderId="5" xfId="0" applyFont="1" applyBorder="1" applyAlignment="1">
      <alignment wrapText="1"/>
    </xf>
    <xf numFmtId="16" fontId="32" fillId="25" borderId="23" xfId="0" applyNumberFormat="1" applyFont="1" applyFill="1" applyBorder="1" applyAlignment="1">
      <alignment horizontal="center" vertical="center"/>
    </xf>
    <xf numFmtId="0" fontId="30" fillId="0" borderId="22" xfId="0" applyFont="1" applyBorder="1" applyAlignment="1">
      <alignment wrapText="1"/>
    </xf>
    <xf numFmtId="16" fontId="32" fillId="17" borderId="64" xfId="0" applyNumberFormat="1" applyFont="1" applyFill="1" applyBorder="1" applyAlignment="1">
      <alignment horizontal="center" vertical="center"/>
    </xf>
    <xf numFmtId="0" fontId="30" fillId="0" borderId="41" xfId="0" applyFont="1" applyBorder="1"/>
    <xf numFmtId="16" fontId="32" fillId="17" borderId="23" xfId="0" applyNumberFormat="1" applyFont="1" applyFill="1" applyBorder="1" applyAlignment="1">
      <alignment horizontal="center" vertical="center"/>
    </xf>
    <xf numFmtId="16" fontId="32" fillId="8" borderId="73" xfId="0" applyNumberFormat="1" applyFont="1" applyFill="1" applyBorder="1" applyAlignment="1">
      <alignment horizontal="center" vertical="center"/>
    </xf>
    <xf numFmtId="0" fontId="30" fillId="0" borderId="39" xfId="0" applyFont="1" applyBorder="1" applyAlignment="1">
      <alignment wrapText="1"/>
    </xf>
    <xf numFmtId="16" fontId="32" fillId="18" borderId="64" xfId="0" applyNumberFormat="1" applyFont="1" applyFill="1" applyBorder="1" applyAlignment="1">
      <alignment horizontal="center" vertical="center"/>
    </xf>
    <xf numFmtId="16" fontId="32" fillId="18" borderId="29" xfId="0" applyNumberFormat="1" applyFont="1" applyFill="1" applyBorder="1" applyAlignment="1">
      <alignment horizontal="center" vertical="center"/>
    </xf>
    <xf numFmtId="0" fontId="30" fillId="0" borderId="5" xfId="0" applyFont="1" applyBorder="1"/>
    <xf numFmtId="16" fontId="32" fillId="18" borderId="23" xfId="0" applyNumberFormat="1" applyFont="1" applyFill="1" applyBorder="1" applyAlignment="1">
      <alignment horizontal="center" vertical="center"/>
    </xf>
    <xf numFmtId="0" fontId="30" fillId="0" borderId="22" xfId="0" applyFont="1" applyBorder="1"/>
    <xf numFmtId="16" fontId="32" fillId="11" borderId="64" xfId="0" applyNumberFormat="1" applyFont="1" applyFill="1" applyBorder="1" applyAlignment="1">
      <alignment horizontal="center" vertical="center"/>
    </xf>
    <xf numFmtId="16" fontId="32" fillId="11" borderId="29" xfId="0" applyNumberFormat="1" applyFont="1" applyFill="1" applyBorder="1" applyAlignment="1">
      <alignment horizontal="center" vertical="center"/>
    </xf>
    <xf numFmtId="16" fontId="32" fillId="11" borderId="23" xfId="0" applyNumberFormat="1" applyFont="1" applyFill="1" applyBorder="1" applyAlignment="1">
      <alignment horizontal="center" vertical="center"/>
    </xf>
    <xf numFmtId="16" fontId="32" fillId="10" borderId="64" xfId="0" applyNumberFormat="1" applyFont="1" applyFill="1" applyBorder="1" applyAlignment="1">
      <alignment horizontal="center" vertical="center"/>
    </xf>
    <xf numFmtId="16" fontId="32" fillId="10" borderId="29" xfId="0" applyNumberFormat="1" applyFont="1" applyFill="1" applyBorder="1" applyAlignment="1">
      <alignment horizontal="center" vertical="center"/>
    </xf>
    <xf numFmtId="16" fontId="32" fillId="10" borderId="23" xfId="0" applyNumberFormat="1" applyFont="1" applyFill="1" applyBorder="1" applyAlignment="1">
      <alignment horizontal="center" vertical="center"/>
    </xf>
    <xf numFmtId="16" fontId="32" fillId="19" borderId="73" xfId="0" applyNumberFormat="1" applyFont="1" applyFill="1" applyBorder="1" applyAlignment="1">
      <alignment horizontal="center" vertical="center"/>
    </xf>
    <xf numFmtId="16" fontId="32" fillId="20" borderId="64" xfId="0" applyNumberFormat="1" applyFont="1" applyFill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11" fillId="9" borderId="13" xfId="0" applyFont="1" applyFill="1" applyBorder="1"/>
    <xf numFmtId="0" fontId="11" fillId="8" borderId="66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11" fillId="8" borderId="68" xfId="0" applyFont="1" applyFill="1" applyBorder="1" applyAlignment="1">
      <alignment horizontal="center"/>
    </xf>
    <xf numFmtId="0" fontId="2" fillId="3" borderId="55" xfId="2" applyFont="1" applyFill="1" applyBorder="1" applyAlignment="1">
      <alignment horizontal="left" vertical="top" wrapText="1"/>
    </xf>
    <xf numFmtId="0" fontId="13" fillId="26" borderId="6" xfId="0" applyFont="1" applyFill="1" applyBorder="1" applyAlignment="1">
      <alignment horizontal="center" vertical="center"/>
    </xf>
    <xf numFmtId="0" fontId="13" fillId="27" borderId="6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9" fillId="0" borderId="56" xfId="0" applyFont="1" applyBorder="1" applyAlignment="1">
      <alignment horizontal="left" wrapText="1"/>
    </xf>
    <xf numFmtId="0" fontId="16" fillId="28" borderId="81" xfId="0" applyFont="1" applyFill="1" applyBorder="1" applyAlignment="1">
      <alignment horizontal="center" vertical="center"/>
    </xf>
    <xf numFmtId="0" fontId="13" fillId="27" borderId="1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15" fillId="8" borderId="36" xfId="0" applyFont="1" applyFill="1" applyBorder="1" applyAlignment="1">
      <alignment horizontal="center" vertical="center"/>
    </xf>
    <xf numFmtId="0" fontId="15" fillId="8" borderId="56" xfId="0" applyFont="1" applyFill="1" applyBorder="1" applyAlignment="1">
      <alignment horizontal="center" vertical="center"/>
    </xf>
    <xf numFmtId="0" fontId="21" fillId="9" borderId="55" xfId="0" applyFont="1" applyFill="1" applyBorder="1" applyAlignment="1">
      <alignment horizontal="left" vertical="top" wrapText="1"/>
    </xf>
    <xf numFmtId="0" fontId="16" fillId="28" borderId="82" xfId="0" applyFont="1" applyFill="1" applyBorder="1" applyAlignment="1">
      <alignment horizontal="center" vertical="center"/>
    </xf>
    <xf numFmtId="0" fontId="21" fillId="9" borderId="59" xfId="0" applyFont="1" applyFill="1" applyBorder="1" applyAlignment="1">
      <alignment horizontal="left" vertical="top" wrapText="1"/>
    </xf>
    <xf numFmtId="0" fontId="16" fillId="28" borderId="83" xfId="0" applyFont="1" applyFill="1" applyBorder="1" applyAlignment="1">
      <alignment horizontal="center" vertical="center"/>
    </xf>
    <xf numFmtId="0" fontId="16" fillId="8" borderId="71" xfId="0" applyFont="1" applyFill="1" applyBorder="1" applyAlignment="1">
      <alignment horizontal="center" vertical="center"/>
    </xf>
    <xf numFmtId="0" fontId="21" fillId="9" borderId="56" xfId="0" applyFont="1" applyFill="1" applyBorder="1" applyAlignment="1">
      <alignment horizontal="left" vertical="top" wrapText="1"/>
    </xf>
    <xf numFmtId="0" fontId="16" fillId="8" borderId="36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2" fillId="3" borderId="56" xfId="2" applyFont="1" applyFill="1" applyBorder="1" applyAlignment="1">
      <alignment horizontal="left" vertical="top" wrapText="1"/>
    </xf>
    <xf numFmtId="0" fontId="13" fillId="29" borderId="18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left" vertical="top" wrapText="1"/>
    </xf>
    <xf numFmtId="0" fontId="16" fillId="28" borderId="78" xfId="0" applyFont="1" applyFill="1" applyBorder="1" applyAlignment="1">
      <alignment horizontal="center" vertical="center"/>
    </xf>
    <xf numFmtId="0" fontId="16" fillId="8" borderId="67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3" fillId="29" borderId="11" xfId="0" applyFont="1" applyFill="1" applyBorder="1" applyAlignment="1">
      <alignment horizontal="center" vertical="center"/>
    </xf>
    <xf numFmtId="0" fontId="13" fillId="29" borderId="6" xfId="0" applyFont="1" applyFill="1" applyBorder="1" applyAlignment="1">
      <alignment horizontal="center" vertical="center"/>
    </xf>
    <xf numFmtId="0" fontId="13" fillId="30" borderId="6" xfId="0" applyFont="1" applyFill="1" applyBorder="1" applyAlignment="1">
      <alignment horizontal="center" vertical="center"/>
    </xf>
    <xf numFmtId="0" fontId="13" fillId="30" borderId="11" xfId="0" applyFont="1" applyFill="1" applyBorder="1" applyAlignment="1">
      <alignment horizontal="center" vertical="center"/>
    </xf>
    <xf numFmtId="0" fontId="13" fillId="27" borderId="11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27" borderId="47" xfId="0" applyFont="1" applyFill="1" applyBorder="1" applyAlignment="1">
      <alignment horizontal="center" vertical="center"/>
    </xf>
    <xf numFmtId="0" fontId="16" fillId="28" borderId="25" xfId="0" applyFont="1" applyFill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2" fillId="0" borderId="8" xfId="2" applyFont="1" applyFill="1" applyBorder="1" applyAlignment="1">
      <alignment horizontal="center" vertical="center"/>
    </xf>
    <xf numFmtId="0" fontId="2" fillId="3" borderId="41" xfId="2" applyFont="1" applyFill="1" applyBorder="1" applyAlignment="1">
      <alignment horizontal="center" vertical="center"/>
    </xf>
    <xf numFmtId="0" fontId="2" fillId="3" borderId="8" xfId="2" applyFont="1" applyFill="1" applyBorder="1" applyAlignment="1">
      <alignment horizontal="center" vertical="center"/>
    </xf>
    <xf numFmtId="0" fontId="2" fillId="3" borderId="36" xfId="2" applyFont="1" applyFill="1" applyBorder="1" applyAlignment="1">
      <alignment horizontal="center" vertical="center"/>
    </xf>
    <xf numFmtId="0" fontId="6" fillId="9" borderId="84" xfId="0" applyFont="1" applyFill="1" applyBorder="1" applyAlignment="1">
      <alignment horizontal="center" vertical="center"/>
    </xf>
    <xf numFmtId="0" fontId="2" fillId="3" borderId="9" xfId="2" applyFont="1" applyFill="1" applyBorder="1" applyAlignment="1">
      <alignment horizontal="center" vertical="center"/>
    </xf>
    <xf numFmtId="0" fontId="13" fillId="30" borderId="18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30" fillId="0" borderId="85" xfId="0" applyFont="1" applyBorder="1" applyAlignment="1">
      <alignment horizontal="left" vertical="top" wrapText="1"/>
    </xf>
    <xf numFmtId="0" fontId="2" fillId="3" borderId="20" xfId="2" applyFont="1" applyFill="1" applyBorder="1" applyAlignment="1">
      <alignment horizontal="center" vertical="center"/>
    </xf>
    <xf numFmtId="0" fontId="2" fillId="3" borderId="7" xfId="2" applyFont="1" applyFill="1" applyBorder="1" applyAlignment="1">
      <alignment horizontal="center" vertical="center"/>
    </xf>
    <xf numFmtId="0" fontId="2" fillId="3" borderId="75" xfId="2" applyFont="1" applyFill="1" applyBorder="1" applyAlignment="1">
      <alignment horizontal="center" vertical="center"/>
    </xf>
    <xf numFmtId="0" fontId="2" fillId="3" borderId="35" xfId="2" applyFont="1" applyFill="1" applyBorder="1" applyAlignment="1">
      <alignment horizontal="center" vertical="center"/>
    </xf>
    <xf numFmtId="0" fontId="2" fillId="3" borderId="10" xfId="2" applyFont="1" applyFill="1" applyBorder="1" applyAlignment="1">
      <alignment horizontal="center" vertical="center"/>
    </xf>
    <xf numFmtId="0" fontId="16" fillId="8" borderId="37" xfId="0" applyFont="1" applyFill="1" applyBorder="1" applyAlignment="1">
      <alignment horizontal="center" vertical="center"/>
    </xf>
    <xf numFmtId="0" fontId="13" fillId="31" borderId="8" xfId="0" applyFont="1" applyFill="1" applyBorder="1" applyAlignment="1">
      <alignment horizontal="center" vertical="center"/>
    </xf>
    <xf numFmtId="0" fontId="13" fillId="31" borderId="6" xfId="0" applyFont="1" applyFill="1" applyBorder="1" applyAlignment="1">
      <alignment horizontal="center" vertical="center"/>
    </xf>
    <xf numFmtId="16" fontId="0" fillId="0" borderId="6" xfId="0" applyNumberFormat="1" applyBorder="1"/>
    <xf numFmtId="164" fontId="0" fillId="0" borderId="6" xfId="0" applyNumberFormat="1" applyBorder="1"/>
    <xf numFmtId="0" fontId="0" fillId="0" borderId="25" xfId="0" applyBorder="1"/>
    <xf numFmtId="0" fontId="0" fillId="0" borderId="27" xfId="0" applyBorder="1"/>
    <xf numFmtId="0" fontId="11" fillId="36" borderId="86" xfId="0" applyFont="1" applyFill="1" applyBorder="1" applyAlignment="1">
      <alignment horizontal="center"/>
    </xf>
    <xf numFmtId="0" fontId="32" fillId="0" borderId="0" xfId="0" applyFont="1"/>
    <xf numFmtId="0" fontId="11" fillId="9" borderId="38" xfId="0" applyFont="1" applyFill="1" applyBorder="1" applyAlignment="1">
      <alignment horizontal="center" vertical="center"/>
    </xf>
    <xf numFmtId="0" fontId="8" fillId="9" borderId="47" xfId="0" applyFont="1" applyFill="1" applyBorder="1" applyAlignment="1">
      <alignment horizontal="center"/>
    </xf>
    <xf numFmtId="0" fontId="8" fillId="31" borderId="47" xfId="0" applyFont="1" applyFill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33" fillId="9" borderId="18" xfId="0" applyFont="1" applyFill="1" applyBorder="1" applyAlignment="1">
      <alignment horizontal="center"/>
    </xf>
    <xf numFmtId="0" fontId="27" fillId="8" borderId="23" xfId="0" applyFont="1" applyFill="1" applyBorder="1" applyAlignment="1">
      <alignment horizontal="center"/>
    </xf>
    <xf numFmtId="0" fontId="34" fillId="9" borderId="5" xfId="0" applyFont="1" applyFill="1" applyBorder="1" applyAlignment="1">
      <alignment horizontal="center"/>
    </xf>
    <xf numFmtId="0" fontId="34" fillId="9" borderId="6" xfId="0" applyFont="1" applyFill="1" applyBorder="1" applyAlignment="1">
      <alignment horizontal="center"/>
    </xf>
    <xf numFmtId="0" fontId="35" fillId="9" borderId="76" xfId="0" applyFont="1" applyFill="1" applyBorder="1" applyAlignment="1">
      <alignment horizontal="center" vertical="center"/>
    </xf>
    <xf numFmtId="0" fontId="35" fillId="9" borderId="8" xfId="0" applyFont="1" applyFill="1" applyBorder="1" applyAlignment="1">
      <alignment horizontal="center" vertical="center"/>
    </xf>
    <xf numFmtId="0" fontId="35" fillId="9" borderId="64" xfId="0" applyFont="1" applyFill="1" applyBorder="1" applyAlignment="1">
      <alignment horizontal="center" vertical="center"/>
    </xf>
    <xf numFmtId="0" fontId="35" fillId="31" borderId="64" xfId="0" applyFont="1" applyFill="1" applyBorder="1" applyAlignment="1">
      <alignment horizontal="center" vertical="center"/>
    </xf>
    <xf numFmtId="0" fontId="35" fillId="31" borderId="8" xfId="0" applyFont="1" applyFill="1" applyBorder="1" applyAlignment="1">
      <alignment horizontal="center" vertical="center"/>
    </xf>
    <xf numFmtId="0" fontId="35" fillId="9" borderId="77" xfId="0" applyFont="1" applyFill="1" applyBorder="1" applyAlignment="1">
      <alignment horizontal="center" vertical="center"/>
    </xf>
    <xf numFmtId="0" fontId="35" fillId="9" borderId="41" xfId="0" applyFont="1" applyFill="1" applyBorder="1" applyAlignment="1">
      <alignment horizontal="center" vertical="center"/>
    </xf>
    <xf numFmtId="0" fontId="35" fillId="9" borderId="36" xfId="0" applyFont="1" applyFill="1" applyBorder="1" applyAlignment="1">
      <alignment horizontal="center" vertical="center"/>
    </xf>
    <xf numFmtId="0" fontId="35" fillId="31" borderId="56" xfId="0" applyFont="1" applyFill="1" applyBorder="1" applyAlignment="1">
      <alignment horizontal="center" vertical="center"/>
    </xf>
    <xf numFmtId="0" fontId="35" fillId="37" borderId="76" xfId="0" applyFont="1" applyFill="1" applyBorder="1" applyAlignment="1">
      <alignment horizontal="center"/>
    </xf>
    <xf numFmtId="0" fontId="15" fillId="8" borderId="64" xfId="0" applyFont="1" applyFill="1" applyBorder="1" applyAlignment="1">
      <alignment horizontal="center" vertical="center"/>
    </xf>
    <xf numFmtId="0" fontId="35" fillId="9" borderId="24" xfId="0" applyFont="1" applyFill="1" applyBorder="1" applyAlignment="1">
      <alignment horizontal="center" vertical="center"/>
    </xf>
    <xf numFmtId="0" fontId="35" fillId="9" borderId="6" xfId="0" applyFont="1" applyFill="1" applyBorder="1" applyAlignment="1">
      <alignment horizontal="center" vertical="center"/>
    </xf>
    <xf numFmtId="0" fontId="35" fillId="9" borderId="29" xfId="0" applyFont="1" applyFill="1" applyBorder="1" applyAlignment="1">
      <alignment horizontal="center" vertical="center"/>
    </xf>
    <xf numFmtId="0" fontId="35" fillId="31" borderId="29" xfId="0" applyFont="1" applyFill="1" applyBorder="1" applyAlignment="1">
      <alignment horizontal="center" vertical="center"/>
    </xf>
    <xf numFmtId="0" fontId="35" fillId="31" borderId="6" xfId="0" applyFont="1" applyFill="1" applyBorder="1" applyAlignment="1">
      <alignment horizontal="center" vertical="center"/>
    </xf>
    <xf numFmtId="0" fontId="35" fillId="9" borderId="69" xfId="0" applyFont="1" applyFill="1" applyBorder="1" applyAlignment="1">
      <alignment horizontal="center" vertical="center"/>
    </xf>
    <xf numFmtId="0" fontId="35" fillId="9" borderId="5" xfId="0" applyFont="1" applyFill="1" applyBorder="1" applyAlignment="1">
      <alignment horizontal="center" vertical="center"/>
    </xf>
    <xf numFmtId="0" fontId="35" fillId="9" borderId="72" xfId="0" applyFont="1" applyFill="1" applyBorder="1" applyAlignment="1">
      <alignment horizontal="center" vertical="center"/>
    </xf>
    <xf numFmtId="0" fontId="35" fillId="9" borderId="47" xfId="0" applyFont="1" applyFill="1" applyBorder="1" applyAlignment="1">
      <alignment horizontal="center" vertical="center"/>
    </xf>
    <xf numFmtId="0" fontId="35" fillId="9" borderId="73" xfId="0" applyFont="1" applyFill="1" applyBorder="1" applyAlignment="1">
      <alignment horizontal="center" vertical="center"/>
    </xf>
    <xf numFmtId="0" fontId="35" fillId="31" borderId="73" xfId="0" applyFont="1" applyFill="1" applyBorder="1" applyAlignment="1">
      <alignment horizontal="center" vertical="center"/>
    </xf>
    <xf numFmtId="0" fontId="35" fillId="31" borderId="47" xfId="0" applyFont="1" applyFill="1" applyBorder="1" applyAlignment="1">
      <alignment horizontal="center" vertical="center"/>
    </xf>
    <xf numFmtId="0" fontId="35" fillId="9" borderId="74" xfId="0" applyFont="1" applyFill="1" applyBorder="1" applyAlignment="1">
      <alignment horizontal="center" vertical="center"/>
    </xf>
    <xf numFmtId="0" fontId="35" fillId="9" borderId="39" xfId="0" applyFont="1" applyFill="1" applyBorder="1" applyAlignment="1">
      <alignment horizontal="center" vertical="center"/>
    </xf>
    <xf numFmtId="0" fontId="16" fillId="8" borderId="73" xfId="0" applyFont="1" applyFill="1" applyBorder="1" applyAlignment="1">
      <alignment horizontal="center" vertical="center"/>
    </xf>
    <xf numFmtId="0" fontId="16" fillId="8" borderId="64" xfId="0" applyFont="1" applyFill="1" applyBorder="1" applyAlignment="1">
      <alignment horizontal="center" vertical="center"/>
    </xf>
    <xf numFmtId="0" fontId="35" fillId="37" borderId="24" xfId="0" applyFont="1" applyFill="1" applyBorder="1" applyAlignment="1">
      <alignment horizontal="center"/>
    </xf>
    <xf numFmtId="0" fontId="35" fillId="0" borderId="0" xfId="0" applyFont="1" applyAlignment="1">
      <alignment horizontal="center" vertical="center"/>
    </xf>
    <xf numFmtId="0" fontId="35" fillId="9" borderId="3" xfId="0" applyFont="1" applyFill="1" applyBorder="1" applyAlignment="1">
      <alignment horizontal="center" vertical="center"/>
    </xf>
    <xf numFmtId="0" fontId="35" fillId="9" borderId="33" xfId="0" applyFont="1" applyFill="1" applyBorder="1" applyAlignment="1">
      <alignment horizontal="center" vertical="center"/>
    </xf>
    <xf numFmtId="0" fontId="35" fillId="9" borderId="17" xfId="0" applyFont="1" applyFill="1" applyBorder="1" applyAlignment="1">
      <alignment horizontal="center" vertical="center"/>
    </xf>
    <xf numFmtId="0" fontId="35" fillId="9" borderId="18" xfId="0" applyFont="1" applyFill="1" applyBorder="1" applyAlignment="1">
      <alignment horizontal="center" vertical="center"/>
    </xf>
    <xf numFmtId="0" fontId="35" fillId="9" borderId="23" xfId="0" applyFont="1" applyFill="1" applyBorder="1" applyAlignment="1">
      <alignment horizontal="center" vertical="center"/>
    </xf>
    <xf numFmtId="0" fontId="35" fillId="31" borderId="23" xfId="0" applyFont="1" applyFill="1" applyBorder="1" applyAlignment="1">
      <alignment horizontal="center" vertical="center"/>
    </xf>
    <xf numFmtId="0" fontId="35" fillId="31" borderId="18" xfId="0" applyFont="1" applyFill="1" applyBorder="1" applyAlignment="1">
      <alignment horizontal="center" vertical="center"/>
    </xf>
    <xf numFmtId="0" fontId="35" fillId="9" borderId="68" xfId="0" applyFont="1" applyFill="1" applyBorder="1" applyAlignment="1">
      <alignment horizontal="center" vertical="center"/>
    </xf>
    <xf numFmtId="0" fontId="35" fillId="9" borderId="22" xfId="0" applyFont="1" applyFill="1" applyBorder="1" applyAlignment="1">
      <alignment horizontal="center" vertical="center"/>
    </xf>
    <xf numFmtId="0" fontId="35" fillId="9" borderId="9" xfId="0" applyFont="1" applyFill="1" applyBorder="1" applyAlignment="1">
      <alignment horizontal="center" vertical="center"/>
    </xf>
    <xf numFmtId="0" fontId="35" fillId="9" borderId="0" xfId="0" applyFont="1" applyFill="1" applyAlignment="1">
      <alignment horizontal="center" vertical="center"/>
    </xf>
    <xf numFmtId="0" fontId="35" fillId="9" borderId="90" xfId="0" applyFont="1" applyFill="1" applyBorder="1" applyAlignment="1">
      <alignment horizontal="center" vertical="center"/>
    </xf>
    <xf numFmtId="0" fontId="35" fillId="37" borderId="17" xfId="0" applyFont="1" applyFill="1" applyBorder="1" applyAlignment="1">
      <alignment horizontal="center"/>
    </xf>
    <xf numFmtId="0" fontId="35" fillId="31" borderId="23" xfId="0" applyFont="1" applyFill="1" applyBorder="1" applyAlignment="1">
      <alignment horizontal="center"/>
    </xf>
    <xf numFmtId="0" fontId="35" fillId="37" borderId="8" xfId="0" applyFont="1" applyFill="1" applyBorder="1" applyAlignment="1">
      <alignment horizontal="center"/>
    </xf>
    <xf numFmtId="0" fontId="0" fillId="37" borderId="8" xfId="0" applyFill="1" applyBorder="1" applyAlignment="1">
      <alignment horizontal="center"/>
    </xf>
    <xf numFmtId="0" fontId="35" fillId="9" borderId="67" xfId="0" applyFont="1" applyFill="1" applyBorder="1" applyAlignment="1">
      <alignment horizontal="center" vertical="center"/>
    </xf>
    <xf numFmtId="0" fontId="6" fillId="9" borderId="91" xfId="0" applyFont="1" applyFill="1" applyBorder="1" applyAlignment="1">
      <alignment horizontal="center" vertical="center"/>
    </xf>
    <xf numFmtId="0" fontId="6" fillId="31" borderId="35" xfId="0" applyFont="1" applyFill="1" applyBorder="1" applyAlignment="1">
      <alignment horizontal="center" vertical="center"/>
    </xf>
    <xf numFmtId="0" fontId="35" fillId="9" borderId="51" xfId="0" applyFont="1" applyFill="1" applyBorder="1" applyAlignment="1">
      <alignment horizontal="center" vertical="center"/>
    </xf>
    <xf numFmtId="0" fontId="35" fillId="9" borderId="7" xfId="0" applyFont="1" applyFill="1" applyBorder="1" applyAlignment="1">
      <alignment horizontal="center" vertical="center"/>
    </xf>
    <xf numFmtId="0" fontId="35" fillId="9" borderId="50" xfId="0" applyFont="1" applyFill="1" applyBorder="1" applyAlignment="1">
      <alignment horizontal="center" vertical="center"/>
    </xf>
    <xf numFmtId="0" fontId="35" fillId="31" borderId="50" xfId="0" applyFont="1" applyFill="1" applyBorder="1" applyAlignment="1">
      <alignment horizontal="center" vertical="center"/>
    </xf>
    <xf numFmtId="0" fontId="35" fillId="31" borderId="7" xfId="0" applyFont="1" applyFill="1" applyBorder="1" applyAlignment="1">
      <alignment horizontal="center" vertical="center"/>
    </xf>
    <xf numFmtId="0" fontId="35" fillId="9" borderId="79" xfId="0" applyFont="1" applyFill="1" applyBorder="1" applyAlignment="1">
      <alignment horizontal="center" vertical="center"/>
    </xf>
    <xf numFmtId="0" fontId="35" fillId="9" borderId="20" xfId="0" applyFont="1" applyFill="1" applyBorder="1" applyAlignment="1">
      <alignment horizontal="center" vertical="center"/>
    </xf>
    <xf numFmtId="0" fontId="36" fillId="13" borderId="78" xfId="0" applyFont="1" applyFill="1" applyBorder="1" applyAlignment="1">
      <alignment horizontal="center" vertical="center"/>
    </xf>
    <xf numFmtId="0" fontId="36" fillId="31" borderId="92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left"/>
    </xf>
    <xf numFmtId="0" fontId="35" fillId="37" borderId="6" xfId="0" applyFont="1" applyFill="1" applyBorder="1" applyAlignment="1">
      <alignment horizontal="center"/>
    </xf>
    <xf numFmtId="0" fontId="35" fillId="38" borderId="6" xfId="0" applyFont="1" applyFill="1" applyBorder="1" applyAlignment="1">
      <alignment horizontal="center"/>
    </xf>
    <xf numFmtId="0" fontId="14" fillId="31" borderId="6" xfId="0" applyFont="1" applyFill="1" applyBorder="1" applyAlignment="1">
      <alignment horizontal="left"/>
    </xf>
    <xf numFmtId="0" fontId="6" fillId="0" borderId="6" xfId="0" applyFont="1" applyBorder="1"/>
    <xf numFmtId="0" fontId="0" fillId="0" borderId="0" xfId="0"/>
    <xf numFmtId="0" fontId="11" fillId="9" borderId="46" xfId="0" applyFont="1" applyFill="1" applyBorder="1" applyAlignment="1">
      <alignment horizontal="center"/>
    </xf>
    <xf numFmtId="16" fontId="11" fillId="9" borderId="13" xfId="0" applyNumberFormat="1" applyFont="1" applyFill="1" applyBorder="1" applyAlignment="1">
      <alignment horizontal="center"/>
    </xf>
    <xf numFmtId="165" fontId="11" fillId="9" borderId="13" xfId="0" applyNumberFormat="1" applyFont="1" applyFill="1" applyBorder="1" applyAlignment="1">
      <alignment horizontal="center"/>
    </xf>
    <xf numFmtId="14" fontId="11" fillId="9" borderId="95" xfId="0" applyNumberFormat="1" applyFont="1" applyFill="1" applyBorder="1" applyAlignment="1">
      <alignment horizontal="center"/>
    </xf>
    <xf numFmtId="0" fontId="40" fillId="9" borderId="7" xfId="0" applyFont="1" applyFill="1" applyBorder="1" applyAlignment="1">
      <alignment horizontal="center"/>
    </xf>
    <xf numFmtId="0" fontId="40" fillId="9" borderId="7" xfId="0" applyFont="1" applyFill="1" applyBorder="1"/>
    <xf numFmtId="0" fontId="40" fillId="9" borderId="6" xfId="0" applyFont="1" applyFill="1" applyBorder="1"/>
    <xf numFmtId="0" fontId="18" fillId="13" borderId="27" xfId="0" applyFont="1" applyFill="1" applyBorder="1" applyAlignment="1">
      <alignment horizontal="center"/>
    </xf>
    <xf numFmtId="2" fontId="29" fillId="9" borderId="55" xfId="0" applyNumberFormat="1" applyFont="1" applyFill="1" applyBorder="1" applyAlignment="1">
      <alignment horizontal="center" vertical="top" wrapText="1"/>
    </xf>
    <xf numFmtId="0" fontId="14" fillId="9" borderId="33" xfId="0" applyFont="1" applyFill="1" applyBorder="1" applyAlignment="1">
      <alignment horizontal="left" vertical="top" wrapText="1"/>
    </xf>
    <xf numFmtId="0" fontId="11" fillId="31" borderId="6" xfId="0" applyFont="1" applyFill="1" applyBorder="1" applyAlignment="1">
      <alignment horizontal="center" vertical="center"/>
    </xf>
    <xf numFmtId="0" fontId="6" fillId="30" borderId="6" xfId="0" applyFont="1" applyFill="1" applyBorder="1" applyAlignment="1">
      <alignment horizontal="center" vertical="center"/>
    </xf>
    <xf numFmtId="2" fontId="29" fillId="9" borderId="53" xfId="0" applyNumberFormat="1" applyFont="1" applyFill="1" applyBorder="1" applyAlignment="1">
      <alignment horizontal="center" vertical="top" wrapText="1"/>
    </xf>
    <xf numFmtId="0" fontId="6" fillId="0" borderId="46" xfId="0" applyFont="1" applyBorder="1" applyAlignment="1">
      <alignment horizontal="left" wrapText="1"/>
    </xf>
    <xf numFmtId="0" fontId="11" fillId="15" borderId="6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14" fillId="9" borderId="46" xfId="0" applyFont="1" applyFill="1" applyBorder="1" applyAlignment="1">
      <alignment horizontal="left" vertical="top" wrapText="1"/>
    </xf>
    <xf numFmtId="0" fontId="16" fillId="1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29" fillId="9" borderId="54" xfId="0" applyNumberFormat="1" applyFont="1" applyFill="1" applyBorder="1" applyAlignment="1">
      <alignment horizontal="center" vertical="top" wrapText="1"/>
    </xf>
    <xf numFmtId="0" fontId="14" fillId="9" borderId="38" xfId="0" applyFont="1" applyFill="1" applyBorder="1" applyAlignment="1">
      <alignment horizontal="left" vertical="top" wrapText="1"/>
    </xf>
    <xf numFmtId="0" fontId="2" fillId="3" borderId="46" xfId="2" applyFont="1" applyFill="1" applyBorder="1" applyAlignment="1">
      <alignment horizontal="left" vertical="top" wrapText="1"/>
    </xf>
    <xf numFmtId="0" fontId="6" fillId="30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2" fontId="29" fillId="9" borderId="80" xfId="0" applyNumberFormat="1" applyFont="1" applyFill="1" applyBorder="1" applyAlignment="1">
      <alignment horizontal="center" vertical="top" wrapText="1"/>
    </xf>
    <xf numFmtId="0" fontId="2" fillId="3" borderId="33" xfId="2" applyFont="1" applyFill="1" applyBorder="1" applyAlignment="1">
      <alignment horizontal="left" vertical="top" wrapText="1"/>
    </xf>
    <xf numFmtId="0" fontId="11" fillId="31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3" fillId="31" borderId="0" xfId="0" applyFont="1" applyFill="1" applyAlignment="1">
      <alignment horizontal="center" vertical="center"/>
    </xf>
    <xf numFmtId="0" fontId="11" fillId="15" borderId="15" xfId="0" applyFont="1" applyFill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15" borderId="22" xfId="0" applyFont="1" applyFill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3" fillId="15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15" borderId="41" xfId="0" applyFont="1" applyFill="1" applyBorder="1" applyAlignment="1">
      <alignment horizontal="center" vertical="center"/>
    </xf>
    <xf numFmtId="0" fontId="13" fillId="39" borderId="8" xfId="0" applyFont="1" applyFill="1" applyBorder="1" applyAlignment="1">
      <alignment horizontal="center" vertical="center"/>
    </xf>
    <xf numFmtId="0" fontId="13" fillId="15" borderId="39" xfId="0" applyFont="1" applyFill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29" borderId="47" xfId="0" applyFont="1" applyFill="1" applyBorder="1" applyAlignment="1">
      <alignment horizontal="center" vertical="center"/>
    </xf>
    <xf numFmtId="0" fontId="13" fillId="39" borderId="6" xfId="0" applyFont="1" applyFill="1" applyBorder="1" applyAlignment="1">
      <alignment horizontal="center" vertical="center"/>
    </xf>
    <xf numFmtId="0" fontId="13" fillId="11" borderId="8" xfId="0" applyFont="1" applyFill="1" applyBorder="1" applyAlignment="1">
      <alignment horizontal="center" vertical="center"/>
    </xf>
    <xf numFmtId="0" fontId="13" fillId="15" borderId="22" xfId="0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6" fillId="13" borderId="83" xfId="0" applyFont="1" applyFill="1" applyBorder="1" applyAlignment="1">
      <alignment horizontal="center" vertical="center"/>
    </xf>
    <xf numFmtId="0" fontId="13" fillId="29" borderId="8" xfId="0" applyFont="1" applyFill="1" applyBorder="1" applyAlignment="1">
      <alignment horizontal="center" vertical="center"/>
    </xf>
    <xf numFmtId="0" fontId="35" fillId="9" borderId="97" xfId="0" applyFont="1" applyFill="1" applyBorder="1" applyAlignment="1">
      <alignment horizontal="center" vertical="center"/>
    </xf>
    <xf numFmtId="0" fontId="13" fillId="39" borderId="18" xfId="0" applyFont="1" applyFill="1" applyBorder="1" applyAlignment="1">
      <alignment horizontal="center" vertical="center"/>
    </xf>
    <xf numFmtId="0" fontId="13" fillId="9" borderId="96" xfId="0" applyFont="1" applyFill="1" applyBorder="1" applyAlignment="1">
      <alignment horizontal="center" vertical="center"/>
    </xf>
    <xf numFmtId="0" fontId="13" fillId="15" borderId="20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11" borderId="7" xfId="0" applyFont="1" applyFill="1" applyBorder="1" applyAlignment="1">
      <alignment horizontal="center" vertical="center"/>
    </xf>
    <xf numFmtId="166" fontId="0" fillId="0" borderId="6" xfId="0" applyNumberFormat="1" applyBorder="1"/>
    <xf numFmtId="16" fontId="0" fillId="15" borderId="6" xfId="0" applyNumberFormat="1" applyFill="1" applyBorder="1"/>
    <xf numFmtId="0" fontId="0" fillId="15" borderId="6" xfId="0" applyFill="1" applyBorder="1"/>
    <xf numFmtId="16" fontId="0" fillId="11" borderId="6" xfId="0" applyNumberFormat="1" applyFill="1" applyBorder="1"/>
    <xf numFmtId="0" fontId="0" fillId="11" borderId="6" xfId="0" applyFill="1" applyBorder="1"/>
    <xf numFmtId="0" fontId="11" fillId="40" borderId="13" xfId="0" applyFont="1" applyFill="1" applyBorder="1" applyAlignment="1">
      <alignment horizontal="center"/>
    </xf>
    <xf numFmtId="0" fontId="27" fillId="41" borderId="13" xfId="0" applyFont="1" applyFill="1" applyBorder="1" applyAlignment="1">
      <alignment horizontal="center"/>
    </xf>
    <xf numFmtId="0" fontId="27" fillId="13" borderId="13" xfId="0" applyFont="1" applyFill="1" applyBorder="1" applyAlignment="1">
      <alignment horizontal="center"/>
    </xf>
    <xf numFmtId="0" fontId="27" fillId="30" borderId="13" xfId="0" applyFont="1" applyFill="1" applyBorder="1" applyAlignment="1">
      <alignment horizontal="center"/>
    </xf>
    <xf numFmtId="0" fontId="27" fillId="40" borderId="13" xfId="0" applyFont="1" applyFill="1" applyBorder="1" applyAlignment="1">
      <alignment horizontal="center"/>
    </xf>
    <xf numFmtId="0" fontId="27" fillId="12" borderId="13" xfId="0" applyFont="1" applyFill="1" applyBorder="1" applyAlignment="1">
      <alignment horizontal="center"/>
    </xf>
    <xf numFmtId="0" fontId="27" fillId="42" borderId="13" xfId="0" applyFont="1" applyFill="1" applyBorder="1" applyAlignment="1">
      <alignment horizontal="center"/>
    </xf>
    <xf numFmtId="0" fontId="27" fillId="9" borderId="13" xfId="0" applyFont="1" applyFill="1" applyBorder="1"/>
    <xf numFmtId="0" fontId="11" fillId="40" borderId="18" xfId="0" applyFont="1" applyFill="1" applyBorder="1" applyAlignment="1">
      <alignment horizontal="center"/>
    </xf>
    <xf numFmtId="0" fontId="27" fillId="41" borderId="18" xfId="0" applyFont="1" applyFill="1" applyBorder="1" applyAlignment="1">
      <alignment horizontal="center"/>
    </xf>
    <xf numFmtId="0" fontId="27" fillId="13" borderId="18" xfId="0" applyFont="1" applyFill="1" applyBorder="1" applyAlignment="1">
      <alignment horizontal="center"/>
    </xf>
    <xf numFmtId="0" fontId="27" fillId="30" borderId="18" xfId="0" applyFont="1" applyFill="1" applyBorder="1" applyAlignment="1">
      <alignment horizontal="center"/>
    </xf>
    <xf numFmtId="0" fontId="27" fillId="40" borderId="18" xfId="0" applyFont="1" applyFill="1" applyBorder="1" applyAlignment="1">
      <alignment horizontal="center"/>
    </xf>
    <xf numFmtId="0" fontId="27" fillId="12" borderId="18" xfId="0" applyFont="1" applyFill="1" applyBorder="1" applyAlignment="1">
      <alignment horizontal="center"/>
    </xf>
    <xf numFmtId="0" fontId="27" fillId="42" borderId="18" xfId="0" applyFont="1" applyFill="1" applyBorder="1" applyAlignment="1">
      <alignment horizontal="center"/>
    </xf>
    <xf numFmtId="0" fontId="13" fillId="40" borderId="6" xfId="0" applyFont="1" applyFill="1" applyBorder="1" applyAlignment="1">
      <alignment horizontal="center" vertical="center"/>
    </xf>
    <xf numFmtId="0" fontId="13" fillId="41" borderId="6" xfId="0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horizontal="center" vertical="center"/>
    </xf>
    <xf numFmtId="0" fontId="13" fillId="30" borderId="8" xfId="0" applyFont="1" applyFill="1" applyBorder="1" applyAlignment="1">
      <alignment horizontal="center" vertical="center"/>
    </xf>
    <xf numFmtId="0" fontId="13" fillId="40" borderId="8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/>
    </xf>
    <xf numFmtId="0" fontId="13" fillId="42" borderId="6" xfId="0" applyFont="1" applyFill="1" applyBorder="1" applyAlignment="1">
      <alignment horizontal="center" vertical="center"/>
    </xf>
    <xf numFmtId="0" fontId="13" fillId="41" borderId="36" xfId="0" applyFont="1" applyFill="1" applyBorder="1" applyAlignment="1">
      <alignment horizontal="center" vertical="center"/>
    </xf>
    <xf numFmtId="0" fontId="13" fillId="40" borderId="90" xfId="0" applyFont="1" applyFill="1" applyBorder="1" applyAlignment="1">
      <alignment horizontal="center" vertical="center"/>
    </xf>
    <xf numFmtId="0" fontId="13" fillId="9" borderId="76" xfId="0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center" vertical="center"/>
    </xf>
    <xf numFmtId="0" fontId="13" fillId="12" borderId="8" xfId="0" applyFont="1" applyFill="1" applyBorder="1" applyAlignment="1">
      <alignment horizontal="center" vertical="center"/>
    </xf>
    <xf numFmtId="0" fontId="13" fillId="42" borderId="8" xfId="0" applyFont="1" applyFill="1" applyBorder="1" applyAlignment="1">
      <alignment horizontal="center" vertical="center"/>
    </xf>
    <xf numFmtId="0" fontId="13" fillId="30" borderId="0" xfId="0" applyFont="1" applyFill="1" applyAlignment="1">
      <alignment horizontal="center" vertical="center"/>
    </xf>
    <xf numFmtId="0" fontId="13" fillId="40" borderId="47" xfId="0" applyFont="1" applyFill="1" applyBorder="1" applyAlignment="1">
      <alignment horizontal="center" vertical="center"/>
    </xf>
    <xf numFmtId="0" fontId="13" fillId="41" borderId="47" xfId="0" applyFont="1" applyFill="1" applyBorder="1" applyAlignment="1">
      <alignment horizontal="center" vertical="center"/>
    </xf>
    <xf numFmtId="0" fontId="13" fillId="13" borderId="47" xfId="0" applyFont="1" applyFill="1" applyBorder="1" applyAlignment="1">
      <alignment horizontal="center" vertical="center"/>
    </xf>
    <xf numFmtId="0" fontId="13" fillId="30" borderId="47" xfId="0" applyFont="1" applyFill="1" applyBorder="1" applyAlignment="1">
      <alignment horizontal="center" vertical="center"/>
    </xf>
    <xf numFmtId="0" fontId="13" fillId="12" borderId="47" xfId="0" applyFont="1" applyFill="1" applyBorder="1" applyAlignment="1">
      <alignment horizontal="center" vertical="center"/>
    </xf>
    <xf numFmtId="0" fontId="13" fillId="42" borderId="47" xfId="0" applyFont="1" applyFill="1" applyBorder="1" applyAlignment="1">
      <alignment horizontal="center" vertical="center"/>
    </xf>
    <xf numFmtId="0" fontId="13" fillId="41" borderId="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40" borderId="0" xfId="0" applyFont="1" applyFill="1" applyAlignment="1">
      <alignment horizontal="center" vertical="center"/>
    </xf>
    <xf numFmtId="0" fontId="13" fillId="40" borderId="18" xfId="0" applyFont="1" applyFill="1" applyBorder="1" applyAlignment="1">
      <alignment horizontal="center" vertical="center"/>
    </xf>
    <xf numFmtId="0" fontId="13" fillId="41" borderId="18" xfId="0" applyFont="1" applyFill="1" applyBorder="1" applyAlignment="1">
      <alignment horizontal="center" vertical="center"/>
    </xf>
    <xf numFmtId="0" fontId="13" fillId="13" borderId="18" xfId="0" applyFont="1" applyFill="1" applyBorder="1" applyAlignment="1">
      <alignment horizontal="center" vertical="center"/>
    </xf>
    <xf numFmtId="0" fontId="13" fillId="30" borderId="62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42" borderId="18" xfId="0" applyFont="1" applyFill="1" applyBorder="1" applyAlignment="1">
      <alignment horizontal="center" vertical="center"/>
    </xf>
    <xf numFmtId="0" fontId="13" fillId="41" borderId="0" xfId="0" applyFont="1" applyFill="1" applyAlignment="1">
      <alignment horizontal="center" vertical="center"/>
    </xf>
    <xf numFmtId="0" fontId="13" fillId="13" borderId="3" xfId="0" applyFont="1" applyFill="1" applyBorder="1" applyAlignment="1">
      <alignment horizontal="center" vertical="center"/>
    </xf>
    <xf numFmtId="0" fontId="13" fillId="40" borderId="11" xfId="0" applyFont="1" applyFill="1" applyBorder="1" applyAlignment="1">
      <alignment horizontal="center" vertical="center"/>
    </xf>
    <xf numFmtId="0" fontId="16" fillId="13" borderId="98" xfId="0" applyFont="1" applyFill="1" applyBorder="1" applyAlignment="1">
      <alignment horizontal="center" vertical="center"/>
    </xf>
    <xf numFmtId="0" fontId="13" fillId="40" borderId="62" xfId="0" applyFont="1" applyFill="1" applyBorder="1" applyAlignment="1">
      <alignment horizontal="center" vertical="center"/>
    </xf>
    <xf numFmtId="0" fontId="16" fillId="41" borderId="35" xfId="0" applyFont="1" applyFill="1" applyBorder="1" applyAlignment="1">
      <alignment horizontal="center" vertical="center"/>
    </xf>
    <xf numFmtId="0" fontId="13" fillId="13" borderId="7" xfId="0" applyFont="1" applyFill="1" applyBorder="1" applyAlignment="1">
      <alignment horizontal="center" vertical="center"/>
    </xf>
    <xf numFmtId="0" fontId="13" fillId="40" borderId="7" xfId="0" applyFont="1" applyFill="1" applyBorder="1" applyAlignment="1">
      <alignment horizontal="center" vertical="center"/>
    </xf>
    <xf numFmtId="0" fontId="13" fillId="41" borderId="7" xfId="0" applyFont="1" applyFill="1" applyBorder="1" applyAlignment="1">
      <alignment horizontal="center" vertical="center"/>
    </xf>
    <xf numFmtId="0" fontId="13" fillId="30" borderId="7" xfId="0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13" fillId="42" borderId="7" xfId="0" applyFont="1" applyFill="1" applyBorder="1" applyAlignment="1">
      <alignment horizontal="center" vertical="center"/>
    </xf>
    <xf numFmtId="0" fontId="13" fillId="41" borderId="3" xfId="0" applyFont="1" applyFill="1" applyBorder="1" applyAlignment="1">
      <alignment horizontal="center" vertical="center"/>
    </xf>
    <xf numFmtId="0" fontId="13" fillId="40" borderId="46" xfId="0" applyFont="1" applyFill="1" applyBorder="1" applyAlignment="1">
      <alignment horizontal="center" vertical="center"/>
    </xf>
    <xf numFmtId="0" fontId="0" fillId="0" borderId="41" xfId="0" applyBorder="1"/>
    <xf numFmtId="0" fontId="0" fillId="0" borderId="8" xfId="0" applyBorder="1"/>
    <xf numFmtId="0" fontId="0" fillId="0" borderId="36" xfId="0" applyBorder="1"/>
    <xf numFmtId="0" fontId="0" fillId="0" borderId="5" xfId="0" applyBorder="1" applyAlignment="1">
      <alignment wrapText="1"/>
    </xf>
    <xf numFmtId="0" fontId="30" fillId="43" borderId="6" xfId="0" applyFont="1" applyFill="1" applyBorder="1"/>
    <xf numFmtId="0" fontId="30" fillId="43" borderId="3" xfId="0" applyFont="1" applyFill="1" applyBorder="1"/>
    <xf numFmtId="0" fontId="14" fillId="0" borderId="6" xfId="0" applyFont="1" applyBorder="1" applyAlignment="1">
      <alignment horizontal="left" wrapText="1"/>
    </xf>
    <xf numFmtId="0" fontId="0" fillId="0" borderId="20" xfId="0" applyBorder="1" applyAlignment="1">
      <alignment wrapText="1"/>
    </xf>
    <xf numFmtId="0" fontId="30" fillId="43" borderId="7" xfId="0" applyFont="1" applyFill="1" applyBorder="1"/>
    <xf numFmtId="0" fontId="30" fillId="43" borderId="0" xfId="0" applyFont="1" applyFill="1"/>
    <xf numFmtId="16" fontId="0" fillId="40" borderId="6" xfId="0" applyNumberFormat="1" applyFill="1" applyBorder="1"/>
    <xf numFmtId="0" fontId="0" fillId="40" borderId="6" xfId="0" applyFill="1" applyBorder="1" applyAlignment="1">
      <alignment wrapText="1"/>
    </xf>
    <xf numFmtId="167" fontId="0" fillId="41" borderId="6" xfId="0" applyNumberFormat="1" applyFill="1" applyBorder="1"/>
    <xf numFmtId="0" fontId="0" fillId="41" borderId="6" xfId="0" applyFill="1" applyBorder="1" applyAlignment="1">
      <alignment wrapText="1"/>
    </xf>
    <xf numFmtId="167" fontId="0" fillId="0" borderId="6" xfId="0" applyNumberFormat="1" applyBorder="1"/>
    <xf numFmtId="0" fontId="0" fillId="0" borderId="0" xfId="0" applyAlignment="1">
      <alignment wrapText="1"/>
    </xf>
    <xf numFmtId="0" fontId="41" fillId="0" borderId="6" xfId="0" applyFont="1" applyBorder="1" applyAlignment="1">
      <alignment horizontal="left" wrapText="1"/>
    </xf>
    <xf numFmtId="167" fontId="0" fillId="30" borderId="6" xfId="0" applyNumberFormat="1" applyFill="1" applyBorder="1"/>
    <xf numFmtId="0" fontId="0" fillId="30" borderId="6" xfId="0" applyFill="1" applyBorder="1" applyAlignment="1">
      <alignment wrapText="1"/>
    </xf>
    <xf numFmtId="167" fontId="0" fillId="40" borderId="6" xfId="0" applyNumberFormat="1" applyFill="1" applyBorder="1"/>
    <xf numFmtId="167" fontId="0" fillId="12" borderId="6" xfId="0" applyNumberFormat="1" applyFill="1" applyBorder="1"/>
    <xf numFmtId="0" fontId="14" fillId="12" borderId="6" xfId="0" applyFont="1" applyFill="1" applyBorder="1" applyAlignment="1">
      <alignment horizontal="left" wrapText="1"/>
    </xf>
    <xf numFmtId="167" fontId="0" fillId="42" borderId="6" xfId="0" applyNumberFormat="1" applyFill="1" applyBorder="1"/>
    <xf numFmtId="0" fontId="0" fillId="43" borderId="6" xfId="0" applyFill="1" applyBorder="1"/>
    <xf numFmtId="0" fontId="4" fillId="5" borderId="0" xfId="4" applyFont="1" applyFill="1"/>
    <xf numFmtId="0" fontId="4" fillId="5" borderId="0" xfId="4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/>
    </xf>
    <xf numFmtId="0" fontId="27" fillId="9" borderId="15" xfId="0" applyFont="1" applyFill="1" applyBorder="1" applyAlignment="1">
      <alignment horizontal="center"/>
    </xf>
    <xf numFmtId="0" fontId="27" fillId="4" borderId="99" xfId="3" applyFont="1" applyFill="1" applyBorder="1" applyAlignment="1">
      <alignment horizontal="center"/>
    </xf>
    <xf numFmtId="0" fontId="1" fillId="2" borderId="15" xfId="1" applyFont="1" applyFill="1" applyBorder="1" applyAlignment="1">
      <alignment horizontal="center"/>
    </xf>
    <xf numFmtId="0" fontId="11" fillId="4" borderId="99" xfId="3" applyFont="1" applyFill="1" applyBorder="1" applyAlignment="1">
      <alignment horizontal="center"/>
    </xf>
    <xf numFmtId="0" fontId="5" fillId="6" borderId="100" xfId="5" applyFont="1" applyFill="1" applyBorder="1" applyAlignment="1">
      <alignment horizontal="center"/>
    </xf>
    <xf numFmtId="0" fontId="4" fillId="5" borderId="15" xfId="4" applyFont="1" applyFill="1" applyBorder="1" applyAlignment="1">
      <alignment horizontal="center"/>
    </xf>
    <xf numFmtId="0" fontId="1" fillId="2" borderId="99" xfId="1" applyFont="1" applyFill="1" applyBorder="1" applyAlignment="1">
      <alignment horizontal="center"/>
    </xf>
    <xf numFmtId="0" fontId="1" fillId="2" borderId="101" xfId="1" applyFont="1" applyFill="1" applyBorder="1" applyAlignment="1">
      <alignment horizontal="center"/>
    </xf>
    <xf numFmtId="0" fontId="2" fillId="3" borderId="13" xfId="2" applyFont="1" applyFill="1" applyBorder="1" applyAlignment="1">
      <alignment horizontal="center"/>
    </xf>
    <xf numFmtId="0" fontId="27" fillId="4" borderId="102" xfId="3" applyFont="1" applyFill="1" applyBorder="1" applyAlignment="1">
      <alignment horizontal="center"/>
    </xf>
    <xf numFmtId="0" fontId="1" fillId="2" borderId="103" xfId="1" applyFont="1" applyFill="1" applyBorder="1" applyAlignment="1">
      <alignment horizontal="center"/>
    </xf>
    <xf numFmtId="0" fontId="27" fillId="9" borderId="103" xfId="0" applyFont="1" applyFill="1" applyBorder="1" applyAlignment="1">
      <alignment horizontal="center"/>
    </xf>
    <xf numFmtId="0" fontId="11" fillId="4" borderId="102" xfId="3" applyFont="1" applyFill="1" applyBorder="1" applyAlignment="1">
      <alignment horizontal="center"/>
    </xf>
    <xf numFmtId="0" fontId="11" fillId="9" borderId="103" xfId="0" applyFont="1" applyFill="1" applyBorder="1" applyAlignment="1">
      <alignment horizontal="center"/>
    </xf>
    <xf numFmtId="0" fontId="5" fillId="6" borderId="104" xfId="5" applyFont="1" applyFill="1" applyBorder="1" applyAlignment="1">
      <alignment horizontal="center"/>
    </xf>
    <xf numFmtId="0" fontId="4" fillId="5" borderId="103" xfId="4" applyFont="1" applyFill="1" applyBorder="1" applyAlignment="1">
      <alignment horizontal="center"/>
    </xf>
    <xf numFmtId="0" fontId="1" fillId="2" borderId="102" xfId="1" applyFont="1" applyFill="1" applyBorder="1" applyAlignment="1">
      <alignment horizontal="center"/>
    </xf>
    <xf numFmtId="0" fontId="1" fillId="2" borderId="105" xfId="1" applyFont="1" applyFill="1" applyBorder="1" applyAlignment="1">
      <alignment horizontal="center"/>
    </xf>
    <xf numFmtId="0" fontId="2" fillId="3" borderId="18" xfId="2" applyFont="1" applyFill="1" applyBorder="1" applyAlignment="1">
      <alignment horizontal="center"/>
    </xf>
    <xf numFmtId="0" fontId="13" fillId="4" borderId="106" xfId="3" applyFont="1" applyFill="1" applyBorder="1" applyAlignment="1">
      <alignment horizontal="center" vertical="center"/>
    </xf>
    <xf numFmtId="0" fontId="1" fillId="2" borderId="41" xfId="1" applyFont="1" applyFill="1" applyBorder="1" applyAlignment="1">
      <alignment horizontal="center" vertical="center"/>
    </xf>
    <xf numFmtId="0" fontId="5" fillId="6" borderId="107" xfId="5" applyFont="1" applyFill="1" applyBorder="1" applyAlignment="1">
      <alignment horizontal="center" vertical="center"/>
    </xf>
    <xf numFmtId="0" fontId="4" fillId="5" borderId="11" xfId="4" applyFont="1" applyFill="1" applyBorder="1" applyAlignment="1">
      <alignment horizontal="center" vertical="center"/>
    </xf>
    <xf numFmtId="0" fontId="13" fillId="4" borderId="108" xfId="3" applyFont="1" applyFill="1" applyBorder="1" applyAlignment="1">
      <alignment horizontal="center" vertical="center"/>
    </xf>
    <xf numFmtId="0" fontId="1" fillId="2" borderId="108" xfId="1" applyFont="1" applyFill="1" applyBorder="1" applyAlignment="1">
      <alignment horizontal="center" vertical="center"/>
    </xf>
    <xf numFmtId="0" fontId="15" fillId="8" borderId="69" xfId="0" applyFont="1" applyFill="1" applyBorder="1" applyAlignment="1">
      <alignment horizontal="center" vertical="center"/>
    </xf>
    <xf numFmtId="0" fontId="13" fillId="9" borderId="109" xfId="0" applyFont="1" applyFill="1" applyBorder="1" applyAlignment="1">
      <alignment horizontal="center" vertical="center"/>
    </xf>
    <xf numFmtId="0" fontId="13" fillId="4" borderId="110" xfId="3" applyFont="1" applyFill="1" applyBorder="1" applyAlignment="1">
      <alignment horizontal="center" vertical="center"/>
    </xf>
    <xf numFmtId="0" fontId="5" fillId="6" borderId="111" xfId="5" applyFont="1" applyFill="1" applyBorder="1" applyAlignment="1">
      <alignment horizontal="center" vertical="center"/>
    </xf>
    <xf numFmtId="0" fontId="13" fillId="4" borderId="35" xfId="3" applyFont="1" applyFill="1" applyBorder="1" applyAlignment="1">
      <alignment horizontal="center" vertical="center"/>
    </xf>
    <xf numFmtId="0" fontId="1" fillId="2" borderId="35" xfId="1" applyFont="1" applyFill="1" applyBorder="1" applyAlignment="1">
      <alignment horizontal="center" vertical="center"/>
    </xf>
    <xf numFmtId="0" fontId="15" fillId="8" borderId="77" xfId="0" applyFont="1" applyFill="1" applyBorder="1" applyAlignment="1">
      <alignment horizontal="center" vertical="center"/>
    </xf>
    <xf numFmtId="0" fontId="13" fillId="4" borderId="1" xfId="3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5" fillId="6" borderId="2" xfId="5" applyFont="1" applyFill="1" applyBorder="1" applyAlignment="1">
      <alignment horizontal="center" vertical="center"/>
    </xf>
    <xf numFmtId="0" fontId="4" fillId="5" borderId="4" xfId="4" applyFont="1" applyFill="1" applyBorder="1" applyAlignment="1">
      <alignment horizontal="center" vertical="center"/>
    </xf>
    <xf numFmtId="0" fontId="13" fillId="4" borderId="25" xfId="3" applyFont="1" applyFill="1" applyBorder="1" applyAlignment="1">
      <alignment horizontal="center" vertical="center"/>
    </xf>
    <xf numFmtId="0" fontId="1" fillId="2" borderId="25" xfId="1" applyFont="1" applyFill="1" applyBorder="1" applyAlignment="1">
      <alignment horizontal="center" vertical="center"/>
    </xf>
    <xf numFmtId="0" fontId="13" fillId="4" borderId="112" xfId="3" applyFont="1" applyFill="1" applyBorder="1" applyAlignment="1">
      <alignment horizontal="center" vertical="center"/>
    </xf>
    <xf numFmtId="0" fontId="5" fillId="6" borderId="113" xfId="5" applyFont="1" applyFill="1" applyBorder="1" applyAlignment="1">
      <alignment horizontal="center" vertical="center"/>
    </xf>
    <xf numFmtId="0" fontId="13" fillId="4" borderId="82" xfId="3" applyFont="1" applyFill="1" applyBorder="1" applyAlignment="1">
      <alignment horizontal="center" vertical="center"/>
    </xf>
    <xf numFmtId="0" fontId="1" fillId="2" borderId="82" xfId="1" applyFont="1" applyFill="1" applyBorder="1" applyAlignment="1">
      <alignment horizontal="center" vertical="center"/>
    </xf>
    <xf numFmtId="0" fontId="13" fillId="4" borderId="114" xfId="3" applyFont="1" applyFill="1" applyBorder="1" applyAlignment="1">
      <alignment horizontal="center" vertical="center"/>
    </xf>
    <xf numFmtId="0" fontId="1" fillId="2" borderId="39" xfId="1" applyFont="1" applyFill="1" applyBorder="1" applyAlignment="1">
      <alignment horizontal="center" vertical="center"/>
    </xf>
    <xf numFmtId="0" fontId="5" fillId="6" borderId="115" xfId="5" applyFont="1" applyFill="1" applyBorder="1" applyAlignment="1">
      <alignment horizontal="center" vertical="center"/>
    </xf>
    <xf numFmtId="0" fontId="4" fillId="5" borderId="62" xfId="4" applyFont="1" applyFill="1" applyBorder="1" applyAlignment="1">
      <alignment horizontal="center" vertical="center"/>
    </xf>
    <xf numFmtId="0" fontId="13" fillId="4" borderId="83" xfId="3" applyFont="1" applyFill="1" applyBorder="1" applyAlignment="1">
      <alignment horizontal="center" vertical="center"/>
    </xf>
    <xf numFmtId="0" fontId="1" fillId="2" borderId="83" xfId="1" applyFont="1" applyFill="1" applyBorder="1" applyAlignment="1">
      <alignment horizontal="center" vertical="center"/>
    </xf>
    <xf numFmtId="0" fontId="2" fillId="3" borderId="47" xfId="2" applyFont="1" applyFill="1" applyBorder="1" applyAlignment="1">
      <alignment horizontal="center" vertical="center"/>
    </xf>
    <xf numFmtId="0" fontId="16" fillId="8" borderId="74" xfId="0" applyFont="1" applyFill="1" applyBorder="1" applyAlignment="1">
      <alignment horizontal="center" vertical="center"/>
    </xf>
    <xf numFmtId="0" fontId="16" fillId="8" borderId="77" xfId="0" applyFont="1" applyFill="1" applyBorder="1" applyAlignment="1">
      <alignment horizontal="center" vertical="center"/>
    </xf>
    <xf numFmtId="0" fontId="2" fillId="30" borderId="6" xfId="2" applyFont="1" applyFill="1" applyBorder="1" applyAlignment="1">
      <alignment horizontal="center" vertical="center"/>
    </xf>
    <xf numFmtId="0" fontId="16" fillId="8" borderId="69" xfId="0" applyFont="1" applyFill="1" applyBorder="1" applyAlignment="1">
      <alignment horizontal="center" vertical="center"/>
    </xf>
    <xf numFmtId="0" fontId="2" fillId="30" borderId="8" xfId="2" applyFont="1" applyFill="1" applyBorder="1" applyAlignment="1">
      <alignment horizontal="center" vertical="center"/>
    </xf>
    <xf numFmtId="0" fontId="13" fillId="4" borderId="116" xfId="3" applyFont="1" applyFill="1" applyBorder="1" applyAlignment="1">
      <alignment horizontal="center" vertical="center"/>
    </xf>
    <xf numFmtId="0" fontId="1" fillId="2" borderId="22" xfId="1" applyFont="1" applyFill="1" applyBorder="1" applyAlignment="1">
      <alignment horizontal="center" vertical="center"/>
    </xf>
    <xf numFmtId="0" fontId="5" fillId="6" borderId="117" xfId="5" applyFont="1" applyFill="1" applyBorder="1" applyAlignment="1">
      <alignment horizontal="center" vertical="center"/>
    </xf>
    <xf numFmtId="0" fontId="4" fillId="5" borderId="45" xfId="4" applyFont="1" applyFill="1" applyBorder="1" applyAlignment="1">
      <alignment horizontal="center" vertical="center"/>
    </xf>
    <xf numFmtId="0" fontId="13" fillId="4" borderId="78" xfId="3" applyFont="1" applyFill="1" applyBorder="1" applyAlignment="1">
      <alignment horizontal="center" vertical="center"/>
    </xf>
    <xf numFmtId="0" fontId="1" fillId="2" borderId="78" xfId="1" applyFont="1" applyFill="1" applyBorder="1" applyAlignment="1">
      <alignment horizontal="center" vertical="center"/>
    </xf>
    <xf numFmtId="0" fontId="2" fillId="30" borderId="18" xfId="2" applyFont="1" applyFill="1" applyBorder="1" applyAlignment="1">
      <alignment horizontal="center" vertical="center"/>
    </xf>
    <xf numFmtId="0" fontId="16" fillId="8" borderId="68" xfId="0" applyFont="1" applyFill="1" applyBorder="1" applyAlignment="1">
      <alignment horizontal="center" vertical="center"/>
    </xf>
    <xf numFmtId="0" fontId="13" fillId="4" borderId="118" xfId="3" applyFont="1" applyFill="1" applyBorder="1" applyAlignment="1">
      <alignment horizontal="center" vertical="center"/>
    </xf>
    <xf numFmtId="0" fontId="2" fillId="3" borderId="18" xfId="2" applyFont="1" applyFill="1" applyBorder="1" applyAlignment="1">
      <alignment horizontal="center" vertical="center"/>
    </xf>
    <xf numFmtId="0" fontId="1" fillId="2" borderId="11" xfId="1" applyFont="1" applyFill="1" applyBorder="1" applyAlignment="1">
      <alignment horizontal="center" vertical="center"/>
    </xf>
    <xf numFmtId="0" fontId="1" fillId="2" borderId="20" xfId="1" applyFont="1" applyFill="1" applyBorder="1" applyAlignment="1">
      <alignment horizontal="center" vertical="center"/>
    </xf>
    <xf numFmtId="0" fontId="16" fillId="4" borderId="1" xfId="3" applyFont="1" applyFill="1" applyBorder="1" applyAlignment="1">
      <alignment horizontal="center" vertical="center"/>
    </xf>
    <xf numFmtId="0" fontId="4" fillId="5" borderId="96" xfId="4" applyFont="1" applyFill="1" applyBorder="1" applyAlignment="1">
      <alignment horizontal="center" vertical="center"/>
    </xf>
    <xf numFmtId="0" fontId="16" fillId="8" borderId="79" xfId="0" applyFont="1" applyFill="1" applyBorder="1" applyAlignment="1">
      <alignment horizontal="center" vertical="center"/>
    </xf>
    <xf numFmtId="0" fontId="1" fillId="2" borderId="8" xfId="1" applyFont="1" applyFill="1" applyBorder="1" applyAlignment="1">
      <alignment horizontal="center" vertical="center"/>
    </xf>
    <xf numFmtId="0" fontId="1" fillId="2" borderId="6" xfId="1" applyFont="1" applyFill="1" applyBorder="1" applyAlignment="1">
      <alignment horizontal="center" vertical="center"/>
    </xf>
    <xf numFmtId="0" fontId="28" fillId="4" borderId="0" xfId="3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28" fillId="4" borderId="25" xfId="3" applyFont="1" applyFill="1" applyBorder="1" applyAlignment="1">
      <alignment horizontal="center" vertical="center"/>
    </xf>
    <xf numFmtId="0" fontId="2" fillId="3" borderId="0" xfId="2" applyFont="1" applyFill="1"/>
    <xf numFmtId="16" fontId="42" fillId="0" borderId="6" xfId="0" applyNumberFormat="1" applyFont="1" applyBorder="1" applyAlignment="1">
      <alignment horizontal="left"/>
    </xf>
    <xf numFmtId="0" fontId="43" fillId="0" borderId="6" xfId="0" applyFont="1" applyBorder="1" applyAlignment="1">
      <alignment horizontal="left" wrapText="1"/>
    </xf>
    <xf numFmtId="0" fontId="42" fillId="0" borderId="6" xfId="0" applyFont="1" applyBorder="1"/>
    <xf numFmtId="16" fontId="44" fillId="0" borderId="25" xfId="0" applyNumberFormat="1" applyFont="1" applyBorder="1" applyAlignment="1">
      <alignment horizontal="left"/>
    </xf>
    <xf numFmtId="0" fontId="43" fillId="0" borderId="25" xfId="0" applyFont="1" applyBorder="1" applyAlignment="1">
      <alignment horizontal="left" wrapText="1"/>
    </xf>
    <xf numFmtId="16" fontId="45" fillId="0" borderId="25" xfId="0" applyNumberFormat="1" applyFont="1" applyBorder="1" applyAlignment="1">
      <alignment horizontal="left"/>
    </xf>
    <xf numFmtId="0" fontId="30" fillId="0" borderId="6" xfId="0" applyFont="1" applyBorder="1" applyAlignment="1">
      <alignment wrapText="1"/>
    </xf>
    <xf numFmtId="16" fontId="45" fillId="0" borderId="42" xfId="0" applyNumberFormat="1" applyFont="1" applyBorder="1" applyAlignment="1">
      <alignment horizontal="left"/>
    </xf>
    <xf numFmtId="0" fontId="30" fillId="0" borderId="6" xfId="0" applyFont="1" applyBorder="1"/>
    <xf numFmtId="16" fontId="21" fillId="0" borderId="119" xfId="0" applyNumberFormat="1" applyFont="1" applyBorder="1" applyAlignment="1">
      <alignment horizontal="left"/>
    </xf>
    <xf numFmtId="0" fontId="9" fillId="0" borderId="6" xfId="0" applyFont="1" applyBorder="1"/>
    <xf numFmtId="0" fontId="4" fillId="5" borderId="8" xfId="4" applyFont="1" applyFill="1" applyBorder="1" applyAlignment="1">
      <alignment horizontal="left"/>
    </xf>
    <xf numFmtId="0" fontId="4" fillId="5" borderId="6" xfId="4" applyFont="1" applyFill="1" applyBorder="1"/>
    <xf numFmtId="14" fontId="32" fillId="0" borderId="6" xfId="0" applyNumberFormat="1" applyFont="1" applyBorder="1" applyAlignment="1">
      <alignment horizontal="left"/>
    </xf>
    <xf numFmtId="14" fontId="42" fillId="0" borderId="6" xfId="0" applyNumberFormat="1" applyFont="1" applyBorder="1"/>
    <xf numFmtId="0" fontId="27" fillId="9" borderId="54" xfId="0" applyFont="1" applyFill="1" applyBorder="1" applyAlignment="1">
      <alignment horizontal="center" vertical="center"/>
    </xf>
    <xf numFmtId="0" fontId="27" fillId="10" borderId="120" xfId="0" applyFont="1" applyFill="1" applyBorder="1" applyAlignment="1">
      <alignment horizontal="center"/>
    </xf>
    <xf numFmtId="0" fontId="27" fillId="10" borderId="121" xfId="0" applyFont="1" applyFill="1" applyBorder="1" applyAlignment="1">
      <alignment horizontal="center"/>
    </xf>
    <xf numFmtId="0" fontId="27" fillId="31" borderId="121" xfId="0" applyFont="1" applyFill="1" applyBorder="1" applyAlignment="1">
      <alignment horizontal="center"/>
    </xf>
    <xf numFmtId="0" fontId="27" fillId="10" borderId="89" xfId="0" applyFont="1" applyFill="1" applyBorder="1" applyAlignment="1">
      <alignment horizontal="center"/>
    </xf>
    <xf numFmtId="0" fontId="47" fillId="26" borderId="122" xfId="0" applyFont="1" applyFill="1" applyBorder="1" applyAlignment="1">
      <alignment horizontal="center"/>
    </xf>
    <xf numFmtId="0" fontId="27" fillId="5" borderId="121" xfId="0" applyFont="1" applyFill="1" applyBorder="1" applyAlignment="1">
      <alignment horizontal="center"/>
    </xf>
    <xf numFmtId="0" fontId="27" fillId="31" borderId="89" xfId="0" applyFont="1" applyFill="1" applyBorder="1" applyAlignment="1">
      <alignment horizontal="center"/>
    </xf>
    <xf numFmtId="0" fontId="47" fillId="26" borderId="123" xfId="0" applyFont="1" applyFill="1" applyBorder="1" applyAlignment="1">
      <alignment horizontal="center"/>
    </xf>
    <xf numFmtId="0" fontId="47" fillId="26" borderId="124" xfId="0" applyFont="1" applyFill="1" applyBorder="1" applyAlignment="1">
      <alignment horizontal="center"/>
    </xf>
    <xf numFmtId="0" fontId="27" fillId="31" borderId="120" xfId="0" applyFont="1" applyFill="1" applyBorder="1" applyAlignment="1">
      <alignment horizontal="center"/>
    </xf>
    <xf numFmtId="0" fontId="27" fillId="9" borderId="39" xfId="0" applyFont="1" applyFill="1" applyBorder="1" applyAlignment="1">
      <alignment horizontal="center"/>
    </xf>
    <xf numFmtId="0" fontId="27" fillId="9" borderId="47" xfId="0" applyFont="1" applyFill="1" applyBorder="1" applyAlignment="1">
      <alignment horizontal="center"/>
    </xf>
    <xf numFmtId="0" fontId="13" fillId="9" borderId="77" xfId="0" applyFont="1" applyFill="1" applyBorder="1" applyAlignment="1">
      <alignment horizontal="center" vertical="center"/>
    </xf>
    <xf numFmtId="0" fontId="13" fillId="5" borderId="41" xfId="0" applyFont="1" applyFill="1" applyBorder="1" applyAlignment="1">
      <alignment horizontal="center" vertical="center"/>
    </xf>
    <xf numFmtId="0" fontId="13" fillId="9" borderId="66" xfId="0" applyFont="1" applyFill="1" applyBorder="1" applyAlignment="1">
      <alignment horizontal="center" vertical="center"/>
    </xf>
    <xf numFmtId="0" fontId="13" fillId="12" borderId="41" xfId="0" applyFont="1" applyFill="1" applyBorder="1" applyAlignment="1">
      <alignment horizontal="center" vertical="center"/>
    </xf>
    <xf numFmtId="0" fontId="13" fillId="12" borderId="90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12" borderId="77" xfId="0" applyFont="1" applyFill="1" applyBorder="1" applyAlignment="1">
      <alignment horizontal="center" vertical="center"/>
    </xf>
    <xf numFmtId="0" fontId="13" fillId="9" borderId="69" xfId="0" applyFont="1" applyFill="1" applyBorder="1" applyAlignment="1">
      <alignment horizontal="center" vertical="center"/>
    </xf>
    <xf numFmtId="0" fontId="13" fillId="46" borderId="5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12" borderId="5" xfId="0" applyFont="1" applyFill="1" applyBorder="1" applyAlignment="1">
      <alignment horizontal="center" vertical="center"/>
    </xf>
    <xf numFmtId="0" fontId="13" fillId="9" borderId="72" xfId="0" applyFont="1" applyFill="1" applyBorder="1" applyAlignment="1">
      <alignment horizontal="center" vertical="center"/>
    </xf>
    <xf numFmtId="0" fontId="13" fillId="9" borderId="74" xfId="0" applyFont="1" applyFill="1" applyBorder="1" applyAlignment="1">
      <alignment horizontal="center" vertical="center"/>
    </xf>
    <xf numFmtId="0" fontId="13" fillId="5" borderId="39" xfId="0" applyFont="1" applyFill="1" applyBorder="1" applyAlignment="1">
      <alignment horizontal="center" vertical="center"/>
    </xf>
    <xf numFmtId="0" fontId="13" fillId="12" borderId="74" xfId="0" applyFont="1" applyFill="1" applyBorder="1" applyAlignment="1">
      <alignment horizontal="center" vertical="center"/>
    </xf>
    <xf numFmtId="0" fontId="16" fillId="13" borderId="29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13" fillId="0" borderId="76" xfId="0" applyFont="1" applyBorder="1" applyAlignment="1">
      <alignment horizontal="center" vertical="center"/>
    </xf>
    <xf numFmtId="0" fontId="2" fillId="3" borderId="54" xfId="2" applyFont="1" applyFill="1" applyBorder="1" applyAlignment="1">
      <alignment horizontal="left" vertical="top" wrapText="1"/>
    </xf>
    <xf numFmtId="0" fontId="13" fillId="9" borderId="17" xfId="0" applyFont="1" applyFill="1" applyBorder="1" applyAlignment="1">
      <alignment horizontal="center" vertical="center"/>
    </xf>
    <xf numFmtId="0" fontId="13" fillId="9" borderId="68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13" fillId="12" borderId="69" xfId="0" applyFont="1" applyFill="1" applyBorder="1" applyAlignment="1">
      <alignment horizontal="center" vertical="center"/>
    </xf>
    <xf numFmtId="0" fontId="16" fillId="12" borderId="18" xfId="0" applyFont="1" applyFill="1" applyBorder="1" applyAlignment="1">
      <alignment horizontal="center" vertical="center"/>
    </xf>
    <xf numFmtId="0" fontId="13" fillId="12" borderId="17" xfId="0" applyFont="1" applyFill="1" applyBorder="1" applyAlignment="1">
      <alignment horizontal="center" vertical="center"/>
    </xf>
    <xf numFmtId="0" fontId="16" fillId="13" borderId="125" xfId="0" applyFont="1" applyFill="1" applyBorder="1" applyAlignment="1">
      <alignment horizontal="center" vertical="center"/>
    </xf>
    <xf numFmtId="0" fontId="13" fillId="46" borderId="41" xfId="0" applyFont="1" applyFill="1" applyBorder="1" applyAlignment="1">
      <alignment horizontal="center" vertical="center"/>
    </xf>
    <xf numFmtId="0" fontId="13" fillId="9" borderId="23" xfId="0" applyFont="1" applyFill="1" applyBorder="1" applyAlignment="1">
      <alignment horizontal="center" vertical="center"/>
    </xf>
    <xf numFmtId="0" fontId="16" fillId="12" borderId="125" xfId="0" applyFont="1" applyFill="1" applyBorder="1" applyAlignment="1">
      <alignment horizontal="center" vertical="center"/>
    </xf>
    <xf numFmtId="0" fontId="13" fillId="9" borderId="79" xfId="0" applyFont="1" applyFill="1" applyBorder="1" applyAlignment="1">
      <alignment horizontal="center" vertical="center"/>
    </xf>
    <xf numFmtId="0" fontId="13" fillId="9" borderId="51" xfId="0" applyFont="1" applyFill="1" applyBorder="1" applyAlignment="1">
      <alignment horizontal="center" vertical="center"/>
    </xf>
    <xf numFmtId="0" fontId="13" fillId="46" borderId="20" xfId="0" applyFont="1" applyFill="1" applyBorder="1" applyAlignment="1">
      <alignment horizontal="center" vertical="center"/>
    </xf>
    <xf numFmtId="0" fontId="13" fillId="5" borderId="96" xfId="0" applyFont="1" applyFill="1" applyBorder="1" applyAlignment="1">
      <alignment horizontal="center" vertical="center"/>
    </xf>
    <xf numFmtId="0" fontId="13" fillId="12" borderId="29" xfId="0" applyFont="1" applyFill="1" applyBorder="1" applyAlignment="1">
      <alignment horizontal="center" vertical="center"/>
    </xf>
    <xf numFmtId="0" fontId="16" fillId="12" borderId="126" xfId="0" applyFont="1" applyFill="1" applyBorder="1" applyAlignment="1">
      <alignment horizontal="center" vertical="center"/>
    </xf>
    <xf numFmtId="0" fontId="13" fillId="9" borderId="64" xfId="0" applyFont="1" applyFill="1" applyBorder="1" applyAlignment="1">
      <alignment horizontal="center" vertical="center"/>
    </xf>
    <xf numFmtId="0" fontId="13" fillId="9" borderId="29" xfId="0" applyFont="1" applyFill="1" applyBorder="1" applyAlignment="1">
      <alignment horizontal="center" vertical="center"/>
    </xf>
    <xf numFmtId="0" fontId="48" fillId="0" borderId="6" xfId="0" applyFont="1" applyBorder="1"/>
    <xf numFmtId="0" fontId="49" fillId="0" borderId="6" xfId="0" applyFont="1" applyBorder="1" applyAlignment="1">
      <alignment horizontal="left"/>
    </xf>
    <xf numFmtId="0" fontId="13" fillId="7" borderId="6" xfId="0" applyFont="1" applyFill="1" applyBorder="1" applyAlignment="1">
      <alignment horizontal="center" vertical="center"/>
    </xf>
    <xf numFmtId="0" fontId="9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9" fillId="0" borderId="101" xfId="0" applyFont="1" applyBorder="1" applyAlignment="1">
      <alignment vertical="center"/>
    </xf>
    <xf numFmtId="0" fontId="8" fillId="9" borderId="13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8" fillId="9" borderId="15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0" borderId="0" xfId="0" applyFont="1"/>
    <xf numFmtId="0" fontId="8" fillId="9" borderId="7" xfId="0" applyFont="1" applyFill="1" applyBorder="1" applyAlignment="1">
      <alignment horizontal="center" vertical="center" wrapText="1"/>
    </xf>
    <xf numFmtId="0" fontId="8" fillId="9" borderId="50" xfId="0" applyFont="1" applyFill="1" applyBorder="1" applyAlignment="1">
      <alignment horizontal="center" vertical="center" wrapText="1"/>
    </xf>
    <xf numFmtId="0" fontId="8" fillId="47" borderId="20" xfId="0" applyFont="1" applyFill="1" applyBorder="1" applyAlignment="1">
      <alignment horizontal="center" vertical="center" wrapText="1"/>
    </xf>
    <xf numFmtId="0" fontId="8" fillId="47" borderId="7" xfId="0" applyFont="1" applyFill="1" applyBorder="1" applyAlignment="1">
      <alignment horizontal="center" vertical="center" wrapText="1"/>
    </xf>
    <xf numFmtId="0" fontId="8" fillId="31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wrapText="1"/>
    </xf>
    <xf numFmtId="0" fontId="8" fillId="9" borderId="20" xfId="0" applyFont="1" applyFill="1" applyBorder="1" applyAlignment="1">
      <alignment horizontal="center" wrapText="1"/>
    </xf>
    <xf numFmtId="0" fontId="8" fillId="9" borderId="6" xfId="0" applyFont="1" applyFill="1" applyBorder="1" applyAlignment="1">
      <alignment horizontal="center" wrapText="1"/>
    </xf>
    <xf numFmtId="0" fontId="9" fillId="0" borderId="101" xfId="0" applyFont="1" applyBorder="1"/>
    <xf numFmtId="2" fontId="21" fillId="9" borderId="13" xfId="0" applyNumberFormat="1" applyFont="1" applyFill="1" applyBorder="1" applyAlignment="1">
      <alignment horizontal="center" vertical="top" wrapText="1"/>
    </xf>
    <xf numFmtId="0" fontId="21" fillId="9" borderId="13" xfId="0" applyFont="1" applyFill="1" applyBorder="1" applyAlignment="1">
      <alignment horizontal="left" vertical="top" wrapText="1"/>
    </xf>
    <xf numFmtId="0" fontId="9" fillId="9" borderId="16" xfId="0" applyFont="1" applyFill="1" applyBorder="1" applyAlignment="1">
      <alignment horizontal="center" vertical="center"/>
    </xf>
    <xf numFmtId="0" fontId="9" fillId="47" borderId="15" xfId="0" applyFont="1" applyFill="1" applyBorder="1" applyAlignment="1">
      <alignment horizontal="center" vertical="center"/>
    </xf>
    <xf numFmtId="0" fontId="9" fillId="9" borderId="13" xfId="0" applyFont="1" applyFill="1" applyBorder="1" applyAlignment="1">
      <alignment horizontal="center" vertical="center"/>
    </xf>
    <xf numFmtId="0" fontId="9" fillId="47" borderId="13" xfId="0" applyFont="1" applyFill="1" applyBorder="1" applyAlignment="1">
      <alignment horizontal="center" vertical="center"/>
    </xf>
    <xf numFmtId="0" fontId="9" fillId="47" borderId="16" xfId="0" applyFont="1" applyFill="1" applyBorder="1" applyAlignment="1">
      <alignment horizontal="center" vertical="center"/>
    </xf>
    <xf numFmtId="0" fontId="8" fillId="31" borderId="13" xfId="0" applyFont="1" applyFill="1" applyBorder="1" applyAlignment="1">
      <alignment horizontal="center" vertical="center"/>
    </xf>
    <xf numFmtId="0" fontId="2" fillId="3" borderId="13" xfId="2" applyFont="1" applyFill="1" applyBorder="1" applyAlignment="1">
      <alignment horizontal="center" vertical="center"/>
    </xf>
    <xf numFmtId="2" fontId="9" fillId="0" borderId="15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2" fontId="21" fillId="9" borderId="6" xfId="0" applyNumberFormat="1" applyFont="1" applyFill="1" applyBorder="1" applyAlignment="1">
      <alignment horizontal="center" vertical="top" wrapText="1"/>
    </xf>
    <xf numFmtId="0" fontId="9" fillId="0" borderId="6" xfId="0" applyFont="1" applyBorder="1" applyAlignment="1">
      <alignment horizontal="left" wrapText="1"/>
    </xf>
    <xf numFmtId="0" fontId="9" fillId="9" borderId="29" xfId="0" applyFont="1" applyFill="1" applyBorder="1" applyAlignment="1">
      <alignment horizontal="center" vertical="center"/>
    </xf>
    <xf numFmtId="0" fontId="9" fillId="47" borderId="5" xfId="0" applyFont="1" applyFill="1" applyBorder="1" applyAlignment="1">
      <alignment horizontal="center" vertical="center"/>
    </xf>
    <xf numFmtId="0" fontId="9" fillId="47" borderId="6" xfId="0" applyFont="1" applyFill="1" applyBorder="1" applyAlignment="1">
      <alignment horizontal="center" vertical="center"/>
    </xf>
    <xf numFmtId="0" fontId="9" fillId="47" borderId="29" xfId="0" applyFont="1" applyFill="1" applyBorder="1" applyAlignment="1">
      <alignment horizontal="center" vertical="center"/>
    </xf>
    <xf numFmtId="0" fontId="8" fillId="31" borderId="6" xfId="0" applyFont="1" applyFill="1" applyBorder="1" applyAlignment="1">
      <alignment horizontal="center" vertical="center"/>
    </xf>
    <xf numFmtId="0" fontId="21" fillId="31" borderId="6" xfId="0" applyFont="1" applyFill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/>
    </xf>
    <xf numFmtId="2" fontId="21" fillId="48" borderId="6" xfId="0" applyNumberFormat="1" applyFont="1" applyFill="1" applyBorder="1" applyAlignment="1">
      <alignment horizontal="center" vertical="top" wrapText="1"/>
    </xf>
    <xf numFmtId="0" fontId="21" fillId="48" borderId="6" xfId="0" applyFont="1" applyFill="1" applyBorder="1" applyAlignment="1">
      <alignment horizontal="left" vertical="top" wrapText="1"/>
    </xf>
    <xf numFmtId="0" fontId="55" fillId="49" borderId="6" xfId="0" applyFont="1" applyFill="1" applyBorder="1" applyAlignment="1">
      <alignment horizontal="center" vertical="center" wrapText="1"/>
    </xf>
    <xf numFmtId="0" fontId="55" fillId="50" borderId="6" xfId="0" applyFont="1" applyFill="1" applyBorder="1" applyAlignment="1">
      <alignment horizontal="center" vertical="center" wrapText="1"/>
    </xf>
    <xf numFmtId="0" fontId="55" fillId="7" borderId="6" xfId="0" applyFont="1" applyFill="1" applyBorder="1" applyAlignment="1">
      <alignment horizontal="center" vertical="center" wrapText="1"/>
    </xf>
    <xf numFmtId="0" fontId="21" fillId="9" borderId="6" xfId="0" applyFont="1" applyFill="1" applyBorder="1" applyAlignment="1">
      <alignment horizontal="left" vertical="top" wrapText="1"/>
    </xf>
    <xf numFmtId="0" fontId="56" fillId="7" borderId="6" xfId="0" applyFont="1" applyFill="1" applyBorder="1" applyAlignment="1">
      <alignment horizontal="center" vertical="center" wrapText="1"/>
    </xf>
    <xf numFmtId="0" fontId="57" fillId="7" borderId="6" xfId="2" applyFont="1" applyFill="1" applyBorder="1" applyAlignment="1">
      <alignment horizontal="center" vertical="center" wrapText="1"/>
    </xf>
    <xf numFmtId="2" fontId="21" fillId="9" borderId="7" xfId="0" applyNumberFormat="1" applyFont="1" applyFill="1" applyBorder="1" applyAlignment="1">
      <alignment horizontal="center" vertical="top" wrapText="1"/>
    </xf>
    <xf numFmtId="0" fontId="21" fillId="9" borderId="7" xfId="0" applyFont="1" applyFill="1" applyBorder="1" applyAlignment="1">
      <alignment horizontal="left" vertical="top" wrapText="1"/>
    </xf>
    <xf numFmtId="0" fontId="9" fillId="9" borderId="50" xfId="0" applyFont="1" applyFill="1" applyBorder="1" applyAlignment="1">
      <alignment horizontal="center" vertical="center"/>
    </xf>
    <xf numFmtId="0" fontId="9" fillId="47" borderId="20" xfId="0" applyFont="1" applyFill="1" applyBorder="1" applyAlignment="1">
      <alignment horizontal="center" vertical="center"/>
    </xf>
    <xf numFmtId="0" fontId="9" fillId="47" borderId="7" xfId="0" applyFont="1" applyFill="1" applyBorder="1" applyAlignment="1">
      <alignment horizontal="center" vertical="center"/>
    </xf>
    <xf numFmtId="0" fontId="9" fillId="47" borderId="50" xfId="0" applyFont="1" applyFill="1" applyBorder="1" applyAlignment="1">
      <alignment horizontal="center" vertical="center"/>
    </xf>
    <xf numFmtId="0" fontId="8" fillId="31" borderId="7" xfId="0" applyFont="1" applyFill="1" applyBorder="1" applyAlignment="1">
      <alignment horizontal="center" vertical="center"/>
    </xf>
    <xf numFmtId="0" fontId="21" fillId="31" borderId="7" xfId="0" applyFont="1" applyFill="1" applyBorder="1" applyAlignment="1">
      <alignment horizontal="center" vertical="center"/>
    </xf>
    <xf numFmtId="2" fontId="9" fillId="0" borderId="20" xfId="0" applyNumberFormat="1" applyFont="1" applyBorder="1" applyAlignment="1">
      <alignment horizontal="center"/>
    </xf>
    <xf numFmtId="0" fontId="58" fillId="49" borderId="6" xfId="0" applyFont="1" applyFill="1" applyBorder="1" applyAlignment="1">
      <alignment horizontal="center" vertical="center" wrapText="1"/>
    </xf>
    <xf numFmtId="0" fontId="55" fillId="20" borderId="7" xfId="0" applyFont="1" applyFill="1" applyBorder="1" applyAlignment="1">
      <alignment horizontal="center" vertical="center" wrapText="1"/>
    </xf>
    <xf numFmtId="0" fontId="58" fillId="50" borderId="6" xfId="0" applyFont="1" applyFill="1" applyBorder="1" applyAlignment="1">
      <alignment horizontal="center" vertical="center" wrapText="1"/>
    </xf>
    <xf numFmtId="0" fontId="55" fillId="7" borderId="0" xfId="0" applyFont="1" applyFill="1" applyAlignment="1">
      <alignment horizontal="center" vertical="center" wrapText="1"/>
    </xf>
    <xf numFmtId="0" fontId="58" fillId="7" borderId="6" xfId="0" applyFont="1" applyFill="1" applyBorder="1" applyAlignment="1">
      <alignment horizontal="center" vertical="center" wrapText="1"/>
    </xf>
    <xf numFmtId="2" fontId="21" fillId="48" borderId="13" xfId="0" applyNumberFormat="1" applyFont="1" applyFill="1" applyBorder="1" applyAlignment="1">
      <alignment horizontal="center" vertical="top" wrapText="1"/>
    </xf>
    <xf numFmtId="0" fontId="21" fillId="48" borderId="13" xfId="0" applyFont="1" applyFill="1" applyBorder="1" applyAlignment="1">
      <alignment horizontal="left" vertical="top" wrapText="1"/>
    </xf>
    <xf numFmtId="0" fontId="55" fillId="20" borderId="6" xfId="0" applyFont="1" applyFill="1" applyBorder="1" applyAlignment="1">
      <alignment horizontal="center" vertical="center" wrapText="1"/>
    </xf>
    <xf numFmtId="2" fontId="21" fillId="13" borderId="6" xfId="0" applyNumberFormat="1" applyFont="1" applyFill="1" applyBorder="1" applyAlignment="1">
      <alignment horizontal="center" vertical="top" wrapText="1"/>
    </xf>
    <xf numFmtId="0" fontId="21" fillId="13" borderId="6" xfId="0" applyFont="1" applyFill="1" applyBorder="1" applyAlignment="1">
      <alignment horizontal="left" vertical="top" wrapText="1"/>
    </xf>
    <xf numFmtId="0" fontId="21" fillId="8" borderId="6" xfId="0" applyFont="1" applyFill="1" applyBorder="1" applyAlignment="1">
      <alignment horizontal="center" vertical="center"/>
    </xf>
    <xf numFmtId="2" fontId="21" fillId="13" borderId="7" xfId="0" applyNumberFormat="1" applyFont="1" applyFill="1" applyBorder="1" applyAlignment="1">
      <alignment horizontal="center" vertical="top" wrapText="1"/>
    </xf>
    <xf numFmtId="0" fontId="21" fillId="13" borderId="7" xfId="0" applyFont="1" applyFill="1" applyBorder="1" applyAlignment="1">
      <alignment horizontal="left" vertical="top" wrapText="1"/>
    </xf>
    <xf numFmtId="2" fontId="21" fillId="13" borderId="13" xfId="0" applyNumberFormat="1" applyFont="1" applyFill="1" applyBorder="1" applyAlignment="1">
      <alignment horizontal="center" vertical="top" wrapText="1"/>
    </xf>
    <xf numFmtId="0" fontId="21" fillId="13" borderId="13" xfId="0" applyFont="1" applyFill="1" applyBorder="1" applyAlignment="1">
      <alignment horizontal="left" vertical="top" wrapText="1"/>
    </xf>
    <xf numFmtId="2" fontId="21" fillId="48" borderId="7" xfId="0" applyNumberFormat="1" applyFont="1" applyFill="1" applyBorder="1" applyAlignment="1">
      <alignment horizontal="center" vertical="top" wrapText="1"/>
    </xf>
    <xf numFmtId="0" fontId="21" fillId="48" borderId="7" xfId="0" applyFont="1" applyFill="1" applyBorder="1" applyAlignment="1">
      <alignment horizontal="left" vertical="top" wrapText="1"/>
    </xf>
    <xf numFmtId="0" fontId="9" fillId="9" borderId="31" xfId="0" applyFont="1" applyFill="1" applyBorder="1" applyAlignment="1">
      <alignment horizontal="center" vertical="center"/>
    </xf>
    <xf numFmtId="0" fontId="6" fillId="9" borderId="25" xfId="0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/>
    </xf>
    <xf numFmtId="0" fontId="21" fillId="8" borderId="13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59" fillId="9" borderId="3" xfId="0" applyFont="1" applyFill="1" applyBorder="1" applyAlignment="1">
      <alignment vertical="center"/>
    </xf>
    <xf numFmtId="0" fontId="59" fillId="9" borderId="4" xfId="0" applyFont="1" applyFill="1" applyBorder="1" applyAlignment="1">
      <alignment vertical="center"/>
    </xf>
    <xf numFmtId="0" fontId="9" fillId="9" borderId="50" xfId="0" applyFont="1" applyFill="1" applyBorder="1" applyAlignment="1">
      <alignment horizontal="center" vertical="center" wrapText="1"/>
    </xf>
    <xf numFmtId="0" fontId="9" fillId="47" borderId="20" xfId="0" applyFont="1" applyFill="1" applyBorder="1" applyAlignment="1">
      <alignment horizontal="center" vertical="center" wrapText="1"/>
    </xf>
    <xf numFmtId="0" fontId="21" fillId="13" borderId="7" xfId="0" applyFont="1" applyFill="1" applyBorder="1" applyAlignment="1">
      <alignment horizontal="center" vertical="center"/>
    </xf>
    <xf numFmtId="0" fontId="21" fillId="47" borderId="7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90" wrapText="1"/>
    </xf>
    <xf numFmtId="0" fontId="8" fillId="0" borderId="6" xfId="0" applyFont="1" applyBorder="1" applyAlignment="1">
      <alignment horizontal="center" vertical="center" wrapText="1"/>
    </xf>
    <xf numFmtId="0" fontId="8" fillId="47" borderId="6" xfId="0" applyFont="1" applyFill="1" applyBorder="1" applyAlignment="1">
      <alignment horizontal="center" vertical="center" textRotation="90" wrapText="1"/>
    </xf>
    <xf numFmtId="0" fontId="8" fillId="31" borderId="6" xfId="0" applyFont="1" applyFill="1" applyBorder="1" applyAlignment="1">
      <alignment horizontal="center" vertical="center" textRotation="90" wrapText="1"/>
    </xf>
    <xf numFmtId="2" fontId="8" fillId="0" borderId="6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textRotation="90" wrapText="1"/>
    </xf>
    <xf numFmtId="168" fontId="9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wrapText="1"/>
    </xf>
    <xf numFmtId="0" fontId="60" fillId="0" borderId="6" xfId="0" applyFont="1" applyBorder="1" applyAlignment="1">
      <alignment horizontal="center" vertical="center"/>
    </xf>
    <xf numFmtId="168" fontId="9" fillId="47" borderId="6" xfId="0" applyNumberFormat="1" applyFont="1" applyFill="1" applyBorder="1" applyAlignment="1">
      <alignment horizontal="center" vertical="center" wrapText="1"/>
    </xf>
    <xf numFmtId="0" fontId="9" fillId="47" borderId="6" xfId="0" applyFont="1" applyFill="1" applyBorder="1" applyAlignment="1">
      <alignment wrapText="1"/>
    </xf>
    <xf numFmtId="168" fontId="9" fillId="0" borderId="7" xfId="0" applyNumberFormat="1" applyFont="1" applyBorder="1" applyAlignment="1">
      <alignment horizontal="center" vertical="center" wrapText="1"/>
    </xf>
    <xf numFmtId="168" fontId="9" fillId="47" borderId="7" xfId="0" applyNumberFormat="1" applyFont="1" applyFill="1" applyBorder="1" applyAlignment="1">
      <alignment horizontal="center" vertical="center" wrapText="1"/>
    </xf>
    <xf numFmtId="0" fontId="9" fillId="51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9" fillId="47" borderId="25" xfId="0" applyFont="1" applyFill="1" applyBorder="1" applyAlignment="1">
      <alignment wrapText="1"/>
    </xf>
    <xf numFmtId="168" fontId="9" fillId="31" borderId="6" xfId="0" applyNumberFormat="1" applyFont="1" applyFill="1" applyBorder="1" applyAlignment="1">
      <alignment horizontal="center" vertical="center" wrapText="1"/>
    </xf>
    <xf numFmtId="0" fontId="9" fillId="31" borderId="6" xfId="0" applyFont="1" applyFill="1" applyBorder="1" applyAlignment="1">
      <alignment horizontal="center" vertical="center" wrapText="1"/>
    </xf>
    <xf numFmtId="0" fontId="9" fillId="31" borderId="6" xfId="0" applyFont="1" applyFill="1" applyBorder="1" applyAlignment="1">
      <alignment horizontal="center" vertical="center"/>
    </xf>
    <xf numFmtId="0" fontId="9" fillId="47" borderId="6" xfId="0" applyFont="1" applyFill="1" applyBorder="1" applyAlignment="1">
      <alignment horizontal="left" vertical="center" wrapText="1"/>
    </xf>
    <xf numFmtId="168" fontId="9" fillId="0" borderId="0" xfId="0" applyNumberFormat="1" applyFont="1" applyAlignment="1">
      <alignment horizontal="center" vertical="center" wrapText="1"/>
    </xf>
    <xf numFmtId="0" fontId="11" fillId="9" borderId="72" xfId="0" applyFont="1" applyFill="1" applyBorder="1" applyAlignment="1">
      <alignment horizontal="center"/>
    </xf>
    <xf numFmtId="0" fontId="11" fillId="9" borderId="47" xfId="0" applyFont="1" applyFill="1" applyBorder="1" applyAlignment="1">
      <alignment horizontal="center"/>
    </xf>
    <xf numFmtId="0" fontId="11" fillId="31" borderId="47" xfId="0" applyFont="1" applyFill="1" applyBorder="1" applyAlignment="1">
      <alignment horizontal="center"/>
    </xf>
    <xf numFmtId="0" fontId="13" fillId="31" borderId="47" xfId="0" applyFont="1" applyFill="1" applyBorder="1" applyAlignment="1">
      <alignment horizontal="center" vertical="center"/>
    </xf>
    <xf numFmtId="0" fontId="13" fillId="31" borderId="18" xfId="0" applyFont="1" applyFill="1" applyBorder="1" applyAlignment="1">
      <alignment horizontal="center" vertical="center"/>
    </xf>
    <xf numFmtId="0" fontId="61" fillId="0" borderId="0" xfId="0" applyFont="1"/>
    <xf numFmtId="0" fontId="24" fillId="31" borderId="6" xfId="0" applyFont="1" applyFill="1" applyBorder="1" applyAlignment="1">
      <alignment horizontal="center" vertical="center"/>
    </xf>
    <xf numFmtId="0" fontId="62" fillId="8" borderId="69" xfId="0" applyFont="1" applyFill="1" applyBorder="1" applyAlignment="1">
      <alignment horizontal="center" vertical="center"/>
    </xf>
    <xf numFmtId="2" fontId="63" fillId="0" borderId="5" xfId="0" applyNumberFormat="1" applyFont="1" applyBorder="1" applyAlignment="1">
      <alignment horizontal="center"/>
    </xf>
    <xf numFmtId="0" fontId="63" fillId="0" borderId="6" xfId="0" applyFont="1" applyBorder="1" applyAlignment="1">
      <alignment horizontal="center"/>
    </xf>
    <xf numFmtId="0" fontId="13" fillId="31" borderId="7" xfId="0" applyFont="1" applyFill="1" applyBorder="1" applyAlignment="1">
      <alignment horizontal="center" vertical="center"/>
    </xf>
    <xf numFmtId="0" fontId="14" fillId="9" borderId="55" xfId="0" applyFont="1" applyFill="1" applyBorder="1" applyAlignment="1">
      <alignment horizontal="left" vertical="top"/>
    </xf>
    <xf numFmtId="0" fontId="6" fillId="0" borderId="5" xfId="0" applyFont="1" applyBorder="1"/>
    <xf numFmtId="0" fontId="6" fillId="0" borderId="5" xfId="0" applyFont="1" applyBorder="1" applyAlignment="1">
      <alignment wrapText="1"/>
    </xf>
    <xf numFmtId="0" fontId="14" fillId="9" borderId="33" xfId="0" applyFont="1" applyFill="1" applyBorder="1" applyAlignment="1">
      <alignment horizontal="left" vertical="top"/>
    </xf>
    <xf numFmtId="0" fontId="11" fillId="31" borderId="72" xfId="0" applyFont="1" applyFill="1" applyBorder="1" applyAlignment="1">
      <alignment horizontal="center"/>
    </xf>
    <xf numFmtId="0" fontId="11" fillId="12" borderId="47" xfId="0" applyFont="1" applyFill="1" applyBorder="1" applyAlignment="1">
      <alignment horizontal="center"/>
    </xf>
    <xf numFmtId="0" fontId="13" fillId="56" borderId="6" xfId="0" applyFont="1" applyFill="1" applyBorder="1" applyAlignment="1">
      <alignment horizontal="center" vertical="center"/>
    </xf>
    <xf numFmtId="0" fontId="13" fillId="56" borderId="8" xfId="0" applyFont="1" applyFill="1" applyBorder="1" applyAlignment="1">
      <alignment horizontal="center" vertical="center"/>
    </xf>
    <xf numFmtId="0" fontId="13" fillId="56" borderId="47" xfId="0" applyFont="1" applyFill="1" applyBorder="1" applyAlignment="1">
      <alignment horizontal="center" vertical="center"/>
    </xf>
    <xf numFmtId="0" fontId="13" fillId="56" borderId="18" xfId="0" applyFont="1" applyFill="1" applyBorder="1" applyAlignment="1">
      <alignment horizontal="center" vertical="center"/>
    </xf>
    <xf numFmtId="0" fontId="24" fillId="56" borderId="6" xfId="0" applyFont="1" applyFill="1" applyBorder="1" applyAlignment="1">
      <alignment horizontal="center" vertical="center"/>
    </xf>
    <xf numFmtId="0" fontId="62" fillId="8" borderId="29" xfId="0" applyFont="1" applyFill="1" applyBorder="1" applyAlignment="1">
      <alignment horizontal="center" vertical="center"/>
    </xf>
    <xf numFmtId="0" fontId="13" fillId="56" borderId="7" xfId="0" applyFont="1" applyFill="1" applyBorder="1" applyAlignment="1">
      <alignment horizontal="center" vertical="center"/>
    </xf>
    <xf numFmtId="0" fontId="49" fillId="9" borderId="55" xfId="0" applyFont="1" applyFill="1" applyBorder="1" applyAlignment="1">
      <alignment horizontal="left" vertical="top"/>
    </xf>
    <xf numFmtId="0" fontId="49" fillId="9" borderId="55" xfId="0" applyFont="1" applyFill="1" applyBorder="1" applyAlignment="1">
      <alignment horizontal="left" vertical="top" wrapText="1"/>
    </xf>
    <xf numFmtId="0" fontId="14" fillId="56" borderId="55" xfId="0" applyFont="1" applyFill="1" applyBorder="1" applyAlignment="1">
      <alignment horizontal="left" vertical="top" wrapText="1"/>
    </xf>
    <xf numFmtId="0" fontId="14" fillId="56" borderId="55" xfId="0" applyFont="1" applyFill="1" applyBorder="1" applyAlignment="1">
      <alignment horizontal="left" vertical="top"/>
    </xf>
    <xf numFmtId="0" fontId="64" fillId="0" borderId="6" xfId="0" applyFont="1" applyBorder="1" applyAlignment="1">
      <alignment wrapText="1"/>
    </xf>
    <xf numFmtId="0" fontId="64" fillId="0" borderId="6" xfId="0" applyFont="1" applyBorder="1"/>
    <xf numFmtId="0" fontId="11" fillId="42" borderId="13" xfId="0" applyFont="1" applyFill="1" applyBorder="1" applyAlignment="1">
      <alignment horizontal="center"/>
    </xf>
    <xf numFmtId="0" fontId="11" fillId="43" borderId="13" xfId="0" applyFont="1" applyFill="1" applyBorder="1" applyAlignment="1">
      <alignment horizontal="center"/>
    </xf>
    <xf numFmtId="0" fontId="11" fillId="42" borderId="18" xfId="0" applyFont="1" applyFill="1" applyBorder="1" applyAlignment="1">
      <alignment horizontal="center"/>
    </xf>
    <xf numFmtId="0" fontId="11" fillId="43" borderId="18" xfId="0" applyFont="1" applyFill="1" applyBorder="1" applyAlignment="1">
      <alignment horizontal="center"/>
    </xf>
    <xf numFmtId="0" fontId="13" fillId="43" borderId="6" xfId="0" applyFont="1" applyFill="1" applyBorder="1" applyAlignment="1">
      <alignment horizontal="center" vertical="center"/>
    </xf>
    <xf numFmtId="0" fontId="13" fillId="43" borderId="8" xfId="0" applyFont="1" applyFill="1" applyBorder="1" applyAlignment="1">
      <alignment horizontal="center" vertical="center"/>
    </xf>
    <xf numFmtId="0" fontId="13" fillId="43" borderId="47" xfId="0" applyFont="1" applyFill="1" applyBorder="1" applyAlignment="1">
      <alignment horizontal="center" vertical="center"/>
    </xf>
    <xf numFmtId="0" fontId="13" fillId="43" borderId="18" xfId="0" applyFont="1" applyFill="1" applyBorder="1" applyAlignment="1">
      <alignment horizontal="center" vertical="center"/>
    </xf>
    <xf numFmtId="0" fontId="13" fillId="43" borderId="7" xfId="0" applyFont="1" applyFill="1" applyBorder="1" applyAlignment="1">
      <alignment horizontal="center" vertical="center"/>
    </xf>
    <xf numFmtId="0" fontId="0" fillId="0" borderId="0" xfId="0"/>
    <xf numFmtId="16" fontId="0" fillId="42" borderId="6" xfId="0" applyNumberFormat="1" applyFill="1" applyBorder="1"/>
    <xf numFmtId="0" fontId="0" fillId="42" borderId="6" xfId="0" applyFill="1" applyBorder="1"/>
    <xf numFmtId="16" fontId="0" fillId="12" borderId="6" xfId="0" applyNumberFormat="1" applyFill="1" applyBorder="1"/>
    <xf numFmtId="0" fontId="0" fillId="12" borderId="6" xfId="0" applyFill="1" applyBorder="1"/>
    <xf numFmtId="0" fontId="11" fillId="31" borderId="15" xfId="0" applyFont="1" applyFill="1" applyBorder="1" applyAlignment="1">
      <alignment horizontal="center"/>
    </xf>
    <xf numFmtId="0" fontId="11" fillId="31" borderId="22" xfId="0" applyFont="1" applyFill="1" applyBorder="1" applyAlignment="1">
      <alignment horizontal="center"/>
    </xf>
    <xf numFmtId="0" fontId="13" fillId="30" borderId="5" xfId="0" applyFont="1" applyFill="1" applyBorder="1" applyAlignment="1">
      <alignment horizontal="center" vertical="center"/>
    </xf>
    <xf numFmtId="0" fontId="13" fillId="31" borderId="5" xfId="0" applyFont="1" applyFill="1" applyBorder="1" applyAlignment="1">
      <alignment horizontal="center" vertical="center"/>
    </xf>
    <xf numFmtId="0" fontId="15" fillId="8" borderId="66" xfId="0" applyFont="1" applyFill="1" applyBorder="1" applyAlignment="1">
      <alignment horizontal="center" vertical="center"/>
    </xf>
    <xf numFmtId="0" fontId="13" fillId="30" borderId="41" xfId="0" applyFont="1" applyFill="1" applyBorder="1" applyAlignment="1">
      <alignment horizontal="center" vertical="center"/>
    </xf>
    <xf numFmtId="0" fontId="13" fillId="31" borderId="41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13" fillId="31" borderId="39" xfId="0" applyFont="1" applyFill="1" applyBorder="1" applyAlignment="1">
      <alignment horizontal="center" vertical="center"/>
    </xf>
    <xf numFmtId="0" fontId="13" fillId="11" borderId="39" xfId="0" applyFont="1" applyFill="1" applyBorder="1" applyAlignment="1">
      <alignment horizontal="center" vertical="center"/>
    </xf>
    <xf numFmtId="0" fontId="13" fillId="43" borderId="41" xfId="0" applyFont="1" applyFill="1" applyBorder="1" applyAlignment="1">
      <alignment horizontal="center" vertical="center"/>
    </xf>
    <xf numFmtId="0" fontId="13" fillId="11" borderId="41" xfId="0" applyFont="1" applyFill="1" applyBorder="1" applyAlignment="1">
      <alignment horizontal="center" vertical="center"/>
    </xf>
    <xf numFmtId="0" fontId="13" fillId="31" borderId="22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13" fillId="43" borderId="5" xfId="0" applyFont="1" applyFill="1" applyBorder="1" applyAlignment="1">
      <alignment horizontal="center" vertical="center"/>
    </xf>
    <xf numFmtId="0" fontId="13" fillId="30" borderId="22" xfId="0" applyFont="1" applyFill="1" applyBorder="1" applyAlignment="1">
      <alignment horizontal="center" vertical="center"/>
    </xf>
    <xf numFmtId="0" fontId="65" fillId="0" borderId="6" xfId="0" applyFont="1" applyBorder="1" applyAlignment="1">
      <alignment horizontal="center" vertical="center"/>
    </xf>
    <xf numFmtId="0" fontId="65" fillId="0" borderId="5" xfId="0" applyFont="1" applyBorder="1" applyAlignment="1">
      <alignment horizontal="left" vertical="center"/>
    </xf>
    <xf numFmtId="0" fontId="65" fillId="11" borderId="6" xfId="0" applyFont="1" applyFill="1" applyBorder="1" applyAlignment="1">
      <alignment horizontal="center" vertical="center"/>
    </xf>
    <xf numFmtId="0" fontId="13" fillId="30" borderId="20" xfId="0" applyFont="1" applyFill="1" applyBorder="1" applyAlignment="1">
      <alignment horizontal="center" vertical="center"/>
    </xf>
    <xf numFmtId="0" fontId="13" fillId="31" borderId="20" xfId="0" applyFont="1" applyFill="1" applyBorder="1" applyAlignment="1">
      <alignment horizontal="center" vertical="center"/>
    </xf>
    <xf numFmtId="0" fontId="13" fillId="11" borderId="20" xfId="0" applyFont="1" applyFill="1" applyBorder="1" applyAlignment="1">
      <alignment horizontal="center" vertical="center"/>
    </xf>
    <xf numFmtId="0" fontId="67" fillId="0" borderId="6" xfId="0" applyFont="1" applyBorder="1" applyAlignment="1">
      <alignment horizontal="left"/>
    </xf>
    <xf numFmtId="0" fontId="67" fillId="0" borderId="6" xfId="0" applyFont="1" applyBorder="1" applyAlignment="1">
      <alignment indent="3"/>
    </xf>
    <xf numFmtId="0" fontId="25" fillId="0" borderId="6" xfId="0" applyFont="1" applyBorder="1"/>
    <xf numFmtId="49" fontId="0" fillId="0" borderId="6" xfId="0" applyNumberFormat="1" applyBorder="1"/>
    <xf numFmtId="0" fontId="6" fillId="0" borderId="53" xfId="0" applyFont="1" applyBorder="1" applyAlignment="1">
      <alignment horizontal="left" wrapText="1"/>
    </xf>
    <xf numFmtId="2" fontId="3" fillId="0" borderId="6" xfId="0" applyNumberFormat="1" applyFont="1" applyBorder="1" applyAlignment="1">
      <alignment horizontal="center"/>
    </xf>
    <xf numFmtId="0" fontId="68" fillId="0" borderId="25" xfId="0" applyFont="1" applyBorder="1" applyAlignment="1">
      <alignment horizontal="left"/>
    </xf>
    <xf numFmtId="167" fontId="0" fillId="0" borderId="0" xfId="0" applyNumberFormat="1"/>
    <xf numFmtId="0" fontId="64" fillId="9" borderId="15" xfId="0" applyFont="1" applyFill="1" applyBorder="1" applyAlignment="1">
      <alignment horizontal="center"/>
    </xf>
    <xf numFmtId="0" fontId="64" fillId="9" borderId="13" xfId="0" applyFont="1" applyFill="1" applyBorder="1" applyAlignment="1">
      <alignment horizontal="center"/>
    </xf>
    <xf numFmtId="0" fontId="64" fillId="9" borderId="72" xfId="0" applyFont="1" applyFill="1" applyBorder="1" applyAlignment="1">
      <alignment horizontal="center"/>
    </xf>
    <xf numFmtId="0" fontId="64" fillId="9" borderId="47" xfId="0" applyFont="1" applyFill="1" applyBorder="1" applyAlignment="1">
      <alignment horizontal="center"/>
    </xf>
    <xf numFmtId="0" fontId="64" fillId="22" borderId="47" xfId="0" applyFont="1" applyFill="1" applyBorder="1" applyAlignment="1">
      <alignment horizontal="center"/>
    </xf>
    <xf numFmtId="0" fontId="64" fillId="9" borderId="73" xfId="0" applyFont="1" applyFill="1" applyBorder="1" applyAlignment="1">
      <alignment horizontal="center"/>
    </xf>
    <xf numFmtId="0" fontId="64" fillId="9" borderId="120" xfId="0" applyFont="1" applyFill="1" applyBorder="1" applyAlignment="1">
      <alignment horizontal="center"/>
    </xf>
    <xf numFmtId="0" fontId="64" fillId="9" borderId="127" xfId="0" applyFont="1" applyFill="1" applyBorder="1" applyAlignment="1">
      <alignment horizontal="center"/>
    </xf>
    <xf numFmtId="0" fontId="64" fillId="22" borderId="127" xfId="0" applyFont="1" applyFill="1" applyBorder="1" applyAlignment="1">
      <alignment horizontal="center"/>
    </xf>
    <xf numFmtId="0" fontId="64" fillId="9" borderId="128" xfId="0" applyFont="1" applyFill="1" applyBorder="1" applyAlignment="1">
      <alignment horizontal="center"/>
    </xf>
    <xf numFmtId="0" fontId="64" fillId="22" borderId="120" xfId="0" applyFont="1" applyFill="1" applyBorder="1" applyAlignment="1">
      <alignment horizontal="center"/>
    </xf>
    <xf numFmtId="0" fontId="64" fillId="9" borderId="39" xfId="0" applyFont="1" applyFill="1" applyBorder="1" applyAlignment="1">
      <alignment horizontal="center"/>
    </xf>
    <xf numFmtId="0" fontId="64" fillId="9" borderId="18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13" fillId="48" borderId="6" xfId="0" applyFont="1" applyFill="1" applyBorder="1" applyAlignment="1">
      <alignment horizontal="center" vertical="center"/>
    </xf>
    <xf numFmtId="0" fontId="13" fillId="61" borderId="6" xfId="0" applyFont="1" applyFill="1" applyBorder="1" applyAlignment="1">
      <alignment horizontal="center" vertical="center"/>
    </xf>
    <xf numFmtId="0" fontId="13" fillId="62" borderId="24" xfId="0" applyFont="1" applyFill="1" applyBorder="1" applyAlignment="1">
      <alignment horizontal="center" vertical="center"/>
    </xf>
    <xf numFmtId="0" fontId="13" fillId="9" borderId="16" xfId="0" applyFont="1" applyFill="1" applyBorder="1" applyAlignment="1">
      <alignment horizontal="center" vertical="center"/>
    </xf>
    <xf numFmtId="0" fontId="13" fillId="61" borderId="8" xfId="0" applyFont="1" applyFill="1" applyBorder="1" applyAlignment="1">
      <alignment horizontal="center" vertical="center"/>
    </xf>
    <xf numFmtId="0" fontId="13" fillId="48" borderId="76" xfId="0" applyFont="1" applyFill="1" applyBorder="1" applyAlignment="1">
      <alignment horizontal="center" vertical="center"/>
    </xf>
    <xf numFmtId="0" fontId="13" fillId="48" borderId="8" xfId="0" applyFont="1" applyFill="1" applyBorder="1" applyAlignment="1">
      <alignment horizontal="center" vertical="center"/>
    </xf>
    <xf numFmtId="0" fontId="13" fillId="62" borderId="6" xfId="0" applyFont="1" applyFill="1" applyBorder="1" applyAlignment="1">
      <alignment horizontal="center" vertical="center"/>
    </xf>
    <xf numFmtId="0" fontId="13" fillId="3" borderId="47" xfId="0" applyFont="1" applyFill="1" applyBorder="1" applyAlignment="1">
      <alignment horizontal="center" vertical="center"/>
    </xf>
    <xf numFmtId="0" fontId="13" fillId="9" borderId="73" xfId="0" applyFont="1" applyFill="1" applyBorder="1" applyAlignment="1">
      <alignment horizontal="center" vertical="center"/>
    </xf>
    <xf numFmtId="0" fontId="13" fillId="61" borderId="47" xfId="0" applyFont="1" applyFill="1" applyBorder="1" applyAlignment="1">
      <alignment horizontal="center" vertical="center"/>
    </xf>
    <xf numFmtId="0" fontId="13" fillId="63" borderId="72" xfId="0" applyFont="1" applyFill="1" applyBorder="1" applyAlignment="1">
      <alignment horizontal="center" vertical="center"/>
    </xf>
    <xf numFmtId="0" fontId="13" fillId="9" borderId="129" xfId="0" applyFont="1" applyFill="1" applyBorder="1" applyAlignment="1">
      <alignment horizontal="center" vertical="center"/>
    </xf>
    <xf numFmtId="0" fontId="69" fillId="3" borderId="57" xfId="0" applyFont="1" applyFill="1" applyBorder="1" applyAlignment="1">
      <alignment horizontal="center" vertical="center"/>
    </xf>
    <xf numFmtId="0" fontId="13" fillId="9" borderId="130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64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61" borderId="18" xfId="0" applyFont="1" applyFill="1" applyBorder="1" applyAlignment="1">
      <alignment horizontal="center" vertical="center"/>
    </xf>
    <xf numFmtId="0" fontId="70" fillId="9" borderId="23" xfId="0" applyFont="1" applyFill="1" applyBorder="1" applyAlignment="1">
      <alignment horizontal="center" vertical="center"/>
    </xf>
    <xf numFmtId="0" fontId="71" fillId="3" borderId="0" xfId="2" applyFont="1" applyFill="1" applyAlignment="1">
      <alignment horizontal="center" vertical="center"/>
    </xf>
    <xf numFmtId="0" fontId="71" fillId="3" borderId="8" xfId="2" applyFont="1" applyFill="1" applyBorder="1" applyAlignment="1">
      <alignment horizontal="center" vertical="center"/>
    </xf>
    <xf numFmtId="0" fontId="13" fillId="48" borderId="24" xfId="0" applyFont="1" applyFill="1" applyBorder="1" applyAlignment="1">
      <alignment horizontal="center" vertical="center"/>
    </xf>
    <xf numFmtId="0" fontId="13" fillId="63" borderId="76" xfId="0" applyFont="1" applyFill="1" applyBorder="1" applyAlignment="1">
      <alignment horizontal="center" vertical="center"/>
    </xf>
    <xf numFmtId="0" fontId="13" fillId="48" borderId="18" xfId="0" applyFont="1" applyFill="1" applyBorder="1" applyAlignment="1">
      <alignment horizontal="center" vertical="center"/>
    </xf>
    <xf numFmtId="0" fontId="13" fillId="62" borderId="23" xfId="0" applyFont="1" applyFill="1" applyBorder="1" applyAlignment="1">
      <alignment horizontal="center" vertical="center"/>
    </xf>
    <xf numFmtId="0" fontId="13" fillId="48" borderId="23" xfId="0" applyFont="1" applyFill="1" applyBorder="1" applyAlignment="1">
      <alignment horizontal="center" vertical="center"/>
    </xf>
    <xf numFmtId="0" fontId="13" fillId="63" borderId="29" xfId="0" applyFont="1" applyFill="1" applyBorder="1" applyAlignment="1">
      <alignment horizontal="center" vertical="center"/>
    </xf>
    <xf numFmtId="0" fontId="70" fillId="3" borderId="6" xfId="0" applyFont="1" applyFill="1" applyBorder="1" applyAlignment="1">
      <alignment horizontal="center" vertical="center"/>
    </xf>
    <xf numFmtId="0" fontId="16" fillId="62" borderId="35" xfId="0" applyFont="1" applyFill="1" applyBorder="1" applyAlignment="1">
      <alignment horizontal="center" vertical="center"/>
    </xf>
    <xf numFmtId="0" fontId="69" fillId="3" borderId="35" xfId="0" applyFont="1" applyFill="1" applyBorder="1" applyAlignment="1">
      <alignment horizontal="center" vertical="center"/>
    </xf>
    <xf numFmtId="0" fontId="69" fillId="3" borderId="125" xfId="0" applyFont="1" applyFill="1" applyBorder="1" applyAlignment="1">
      <alignment horizontal="center" vertical="center"/>
    </xf>
    <xf numFmtId="0" fontId="13" fillId="63" borderId="64" xfId="0" applyFont="1" applyFill="1" applyBorder="1" applyAlignment="1">
      <alignment horizontal="center" vertical="center"/>
    </xf>
    <xf numFmtId="49" fontId="21" fillId="9" borderId="131" xfId="0" applyNumberFormat="1" applyFont="1" applyFill="1" applyBorder="1" applyAlignment="1">
      <alignment horizontal="center" vertical="top" wrapText="1"/>
    </xf>
    <xf numFmtId="0" fontId="13" fillId="9" borderId="50" xfId="0" applyFont="1" applyFill="1" applyBorder="1" applyAlignment="1">
      <alignment horizontal="center" vertical="center"/>
    </xf>
    <xf numFmtId="0" fontId="13" fillId="61" borderId="7" xfId="0" applyFont="1" applyFill="1" applyBorder="1" applyAlignment="1">
      <alignment horizontal="center" vertical="center"/>
    </xf>
    <xf numFmtId="49" fontId="21" fillId="9" borderId="53" xfId="0" applyNumberFormat="1" applyFont="1" applyFill="1" applyBorder="1" applyAlignment="1">
      <alignment horizontal="center" vertical="top" wrapText="1"/>
    </xf>
    <xf numFmtId="0" fontId="14" fillId="9" borderId="53" xfId="0" applyFont="1" applyFill="1" applyBorder="1" applyAlignment="1">
      <alignment horizontal="left" vertical="top" wrapText="1"/>
    </xf>
    <xf numFmtId="0" fontId="13" fillId="3" borderId="13" xfId="0" applyFont="1" applyFill="1" applyBorder="1" applyAlignment="1">
      <alignment horizontal="center" vertical="center"/>
    </xf>
    <xf numFmtId="0" fontId="69" fillId="3" borderId="132" xfId="0" applyFont="1" applyFill="1" applyBorder="1" applyAlignment="1">
      <alignment horizontal="center" vertical="center"/>
    </xf>
    <xf numFmtId="0" fontId="3" fillId="3" borderId="133" xfId="2" applyFont="1" applyFill="1" applyBorder="1" applyAlignment="1">
      <alignment horizontal="center" vertical="center"/>
    </xf>
    <xf numFmtId="0" fontId="13" fillId="3" borderId="66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48" borderId="13" xfId="0" applyFont="1" applyFill="1" applyBorder="1" applyAlignment="1">
      <alignment horizontal="center" vertical="center"/>
    </xf>
    <xf numFmtId="0" fontId="13" fillId="61" borderId="13" xfId="0" applyFont="1" applyFill="1" applyBorder="1" applyAlignment="1">
      <alignment horizontal="center" vertical="center"/>
    </xf>
    <xf numFmtId="0" fontId="13" fillId="48" borderId="12" xfId="0" applyFont="1" applyFill="1" applyBorder="1" applyAlignment="1">
      <alignment horizontal="center" vertical="center"/>
    </xf>
    <xf numFmtId="0" fontId="0" fillId="64" borderId="0" xfId="0" applyFill="1"/>
    <xf numFmtId="49" fontId="21" fillId="9" borderId="55" xfId="0" applyNumberFormat="1" applyFont="1" applyFill="1" applyBorder="1" applyAlignment="1">
      <alignment horizontal="center" vertical="top" wrapText="1"/>
    </xf>
    <xf numFmtId="0" fontId="14" fillId="64" borderId="55" xfId="0" applyFont="1" applyFill="1" applyBorder="1" applyAlignment="1">
      <alignment horizontal="left" vertical="top" wrapText="1"/>
    </xf>
    <xf numFmtId="0" fontId="13" fillId="64" borderId="24" xfId="0" applyFont="1" applyFill="1" applyBorder="1" applyAlignment="1">
      <alignment horizontal="center" vertical="center"/>
    </xf>
    <xf numFmtId="0" fontId="13" fillId="64" borderId="6" xfId="0" applyFont="1" applyFill="1" applyBorder="1" applyAlignment="1">
      <alignment horizontal="center" vertical="center"/>
    </xf>
    <xf numFmtId="0" fontId="13" fillId="64" borderId="29" xfId="0" applyFont="1" applyFill="1" applyBorder="1" applyAlignment="1">
      <alignment horizontal="center" vertical="center"/>
    </xf>
    <xf numFmtId="0" fontId="13" fillId="64" borderId="8" xfId="0" applyFont="1" applyFill="1" applyBorder="1" applyAlignment="1">
      <alignment horizontal="center" vertical="center"/>
    </xf>
    <xf numFmtId="0" fontId="13" fillId="64" borderId="5" xfId="0" applyFont="1" applyFill="1" applyBorder="1" applyAlignment="1">
      <alignment horizontal="center" vertical="center"/>
    </xf>
    <xf numFmtId="0" fontId="16" fillId="64" borderId="69" xfId="0" applyFont="1" applyFill="1" applyBorder="1" applyAlignment="1">
      <alignment horizontal="center" vertical="center"/>
    </xf>
    <xf numFmtId="2" fontId="3" fillId="64" borderId="5" xfId="0" applyNumberFormat="1" applyFont="1" applyFill="1" applyBorder="1" applyAlignment="1">
      <alignment horizontal="center"/>
    </xf>
    <xf numFmtId="0" fontId="3" fillId="64" borderId="6" xfId="0" applyFont="1" applyFill="1" applyBorder="1" applyAlignment="1">
      <alignment horizontal="center"/>
    </xf>
    <xf numFmtId="0" fontId="13" fillId="3" borderId="7" xfId="0" applyFont="1" applyFill="1" applyBorder="1" applyAlignment="1">
      <alignment horizontal="center" vertical="center"/>
    </xf>
    <xf numFmtId="0" fontId="13" fillId="63" borderId="50" xfId="0" applyFont="1" applyFill="1" applyBorder="1" applyAlignment="1">
      <alignment horizontal="center" vertical="center"/>
    </xf>
    <xf numFmtId="0" fontId="13" fillId="63" borderId="20" xfId="0" applyFont="1" applyFill="1" applyBorder="1" applyAlignment="1">
      <alignment horizontal="center" vertical="center"/>
    </xf>
    <xf numFmtId="49" fontId="21" fillId="9" borderId="54" xfId="0" applyNumberFormat="1" applyFont="1" applyFill="1" applyBorder="1" applyAlignment="1">
      <alignment horizontal="center" vertical="top" wrapText="1"/>
    </xf>
    <xf numFmtId="0" fontId="13" fillId="3" borderId="23" xfId="0" applyFont="1" applyFill="1" applyBorder="1" applyAlignment="1">
      <alignment horizontal="center" vertical="center"/>
    </xf>
    <xf numFmtId="0" fontId="69" fillId="3" borderId="92" xfId="0" applyFont="1" applyFill="1" applyBorder="1" applyAlignment="1">
      <alignment horizontal="center" vertical="center"/>
    </xf>
    <xf numFmtId="0" fontId="13" fillId="63" borderId="17" xfId="0" applyFont="1" applyFill="1" applyBorder="1" applyAlignment="1">
      <alignment horizontal="center" vertical="center"/>
    </xf>
    <xf numFmtId="167" fontId="25" fillId="0" borderId="9" xfId="0" applyNumberFormat="1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167" fontId="6" fillId="15" borderId="53" xfId="0" applyNumberFormat="1" applyFont="1" applyFill="1" applyBorder="1" applyAlignment="1">
      <alignment vertical="center"/>
    </xf>
    <xf numFmtId="0" fontId="6" fillId="22" borderId="15" xfId="0" applyFont="1" applyFill="1" applyBorder="1" applyAlignment="1">
      <alignment wrapText="1"/>
    </xf>
    <xf numFmtId="0" fontId="6" fillId="22" borderId="16" xfId="0" applyFont="1" applyFill="1" applyBorder="1" applyAlignment="1">
      <alignment horizontal="center" vertical="center"/>
    </xf>
    <xf numFmtId="167" fontId="6" fillId="15" borderId="55" xfId="0" applyNumberFormat="1" applyFont="1" applyFill="1" applyBorder="1" applyAlignment="1">
      <alignment vertical="center"/>
    </xf>
    <xf numFmtId="0" fontId="6" fillId="22" borderId="5" xfId="0" applyFont="1" applyFill="1" applyBorder="1" applyAlignment="1">
      <alignment wrapText="1"/>
    </xf>
    <xf numFmtId="0" fontId="6" fillId="22" borderId="29" xfId="0" applyFont="1" applyFill="1" applyBorder="1" applyAlignment="1">
      <alignment horizontal="center" vertical="center"/>
    </xf>
    <xf numFmtId="0" fontId="59" fillId="0" borderId="9" xfId="0" applyFont="1" applyBorder="1"/>
    <xf numFmtId="0" fontId="64" fillId="48" borderId="6" xfId="0" applyFont="1" applyFill="1" applyBorder="1" applyAlignment="1">
      <alignment horizontal="center" vertical="center"/>
    </xf>
    <xf numFmtId="0" fontId="6" fillId="48" borderId="6" xfId="0" applyFont="1" applyFill="1" applyBorder="1" applyAlignment="1">
      <alignment horizontal="center" vertical="center" wrapText="1"/>
    </xf>
    <xf numFmtId="0" fontId="6" fillId="0" borderId="9" xfId="0" applyFont="1" applyBorder="1"/>
    <xf numFmtId="0" fontId="64" fillId="22" borderId="6" xfId="0" applyFont="1" applyFill="1" applyBorder="1" applyAlignment="1">
      <alignment horizontal="center" vertical="center"/>
    </xf>
    <xf numFmtId="0" fontId="6" fillId="22" borderId="6" xfId="0" applyFont="1" applyFill="1" applyBorder="1" applyAlignment="1">
      <alignment horizontal="center" vertical="center" wrapText="1"/>
    </xf>
    <xf numFmtId="0" fontId="64" fillId="65" borderId="6" xfId="0" applyFont="1" applyFill="1" applyBorder="1" applyAlignment="1">
      <alignment horizontal="center" vertical="center"/>
    </xf>
    <xf numFmtId="0" fontId="6" fillId="65" borderId="6" xfId="0" applyFont="1" applyFill="1" applyBorder="1" applyAlignment="1">
      <alignment horizontal="center" vertical="center" wrapText="1"/>
    </xf>
    <xf numFmtId="0" fontId="64" fillId="65" borderId="6" xfId="0" applyFont="1" applyFill="1" applyBorder="1" applyAlignment="1">
      <alignment vertical="center"/>
    </xf>
    <xf numFmtId="0" fontId="6" fillId="0" borderId="29" xfId="0" applyFont="1" applyBorder="1" applyAlignment="1">
      <alignment horizontal="center" vertical="center"/>
    </xf>
    <xf numFmtId="167" fontId="6" fillId="15" borderId="54" xfId="0" applyNumberFormat="1" applyFont="1" applyFill="1" applyBorder="1" applyAlignment="1">
      <alignment vertical="center"/>
    </xf>
    <xf numFmtId="0" fontId="6" fillId="0" borderId="22" xfId="0" applyFont="1" applyBorder="1" applyAlignment="1">
      <alignment wrapText="1"/>
    </xf>
    <xf numFmtId="0" fontId="6" fillId="0" borderId="23" xfId="0" applyFont="1" applyBorder="1" applyAlignment="1">
      <alignment horizontal="center" vertical="center"/>
    </xf>
    <xf numFmtId="167" fontId="6" fillId="51" borderId="53" xfId="0" applyNumberFormat="1" applyFont="1" applyFill="1" applyBorder="1" applyAlignment="1">
      <alignment vertical="center"/>
    </xf>
    <xf numFmtId="0" fontId="6" fillId="23" borderId="15" xfId="0" applyFont="1" applyFill="1" applyBorder="1" applyAlignment="1">
      <alignment wrapText="1"/>
    </xf>
    <xf numFmtId="167" fontId="6" fillId="51" borderId="55" xfId="0" applyNumberFormat="1" applyFont="1" applyFill="1" applyBorder="1" applyAlignment="1">
      <alignment vertical="center"/>
    </xf>
    <xf numFmtId="167" fontId="6" fillId="51" borderId="54" xfId="0" applyNumberFormat="1" applyFont="1" applyFill="1" applyBorder="1" applyAlignment="1">
      <alignment vertical="center"/>
    </xf>
    <xf numFmtId="167" fontId="6" fillId="57" borderId="53" xfId="0" applyNumberFormat="1" applyFont="1" applyFill="1" applyBorder="1" applyAlignment="1">
      <alignment vertical="center"/>
    </xf>
    <xf numFmtId="0" fontId="6" fillId="22" borderId="15" xfId="0" applyFont="1" applyFill="1" applyBorder="1" applyAlignment="1">
      <alignment vertical="center" wrapText="1"/>
    </xf>
    <xf numFmtId="167" fontId="6" fillId="57" borderId="55" xfId="0" applyNumberFormat="1" applyFont="1" applyFill="1" applyBorder="1" applyAlignment="1">
      <alignment vertical="center"/>
    </xf>
    <xf numFmtId="0" fontId="6" fillId="61" borderId="5" xfId="0" applyFont="1" applyFill="1" applyBorder="1" applyAlignment="1">
      <alignment wrapText="1"/>
    </xf>
    <xf numFmtId="0" fontId="6" fillId="61" borderId="29" xfId="0" applyFont="1" applyFill="1" applyBorder="1" applyAlignment="1">
      <alignment horizontal="center" vertical="center"/>
    </xf>
    <xf numFmtId="167" fontId="6" fillId="57" borderId="80" xfId="0" applyNumberFormat="1" applyFont="1" applyFill="1" applyBorder="1" applyAlignment="1">
      <alignment vertical="center"/>
    </xf>
    <xf numFmtId="0" fontId="6" fillId="22" borderId="20" xfId="0" applyFont="1" applyFill="1" applyBorder="1" applyAlignment="1">
      <alignment wrapText="1"/>
    </xf>
    <xf numFmtId="0" fontId="6" fillId="22" borderId="50" xfId="0" applyFont="1" applyFill="1" applyBorder="1" applyAlignment="1">
      <alignment horizontal="center" vertical="center"/>
    </xf>
    <xf numFmtId="167" fontId="6" fillId="58" borderId="53" xfId="0" applyNumberFormat="1" applyFont="1" applyFill="1" applyBorder="1" applyAlignment="1">
      <alignment horizontal="right" vertical="center"/>
    </xf>
    <xf numFmtId="0" fontId="6" fillId="0" borderId="15" xfId="0" applyFont="1" applyBorder="1" applyAlignment="1">
      <alignment wrapText="1"/>
    </xf>
    <xf numFmtId="0" fontId="6" fillId="0" borderId="16" xfId="0" applyFont="1" applyBorder="1" applyAlignment="1">
      <alignment horizontal="center" vertical="center"/>
    </xf>
    <xf numFmtId="167" fontId="6" fillId="58" borderId="55" xfId="0" applyNumberFormat="1" applyFont="1" applyFill="1" applyBorder="1" applyAlignment="1">
      <alignment vertical="center"/>
    </xf>
    <xf numFmtId="167" fontId="6" fillId="58" borderId="54" xfId="0" applyNumberFormat="1" applyFont="1" applyFill="1" applyBorder="1"/>
    <xf numFmtId="0" fontId="6" fillId="22" borderId="22" xfId="0" applyFont="1" applyFill="1" applyBorder="1" applyAlignment="1">
      <alignment wrapText="1"/>
    </xf>
    <xf numFmtId="0" fontId="6" fillId="22" borderId="23" xfId="0" applyFont="1" applyFill="1" applyBorder="1" applyAlignment="1">
      <alignment horizontal="center" vertical="center"/>
    </xf>
    <xf numFmtId="167" fontId="6" fillId="59" borderId="53" xfId="0" applyNumberFormat="1" applyFont="1" applyFill="1" applyBorder="1" applyAlignment="1">
      <alignment vertical="center"/>
    </xf>
    <xf numFmtId="167" fontId="6" fillId="59" borderId="55" xfId="0" applyNumberFormat="1" applyFont="1" applyFill="1" applyBorder="1" applyAlignment="1">
      <alignment vertical="center"/>
    </xf>
    <xf numFmtId="167" fontId="6" fillId="59" borderId="54" xfId="0" applyNumberFormat="1" applyFont="1" applyFill="1" applyBorder="1" applyAlignment="1">
      <alignment vertical="center"/>
    </xf>
    <xf numFmtId="167" fontId="6" fillId="60" borderId="64" xfId="0" applyNumberFormat="1" applyFont="1" applyFill="1" applyBorder="1" applyAlignment="1">
      <alignment vertical="center"/>
    </xf>
    <xf numFmtId="0" fontId="6" fillId="0" borderId="41" xfId="0" applyFont="1" applyBorder="1" applyAlignment="1">
      <alignment wrapText="1"/>
    </xf>
    <xf numFmtId="0" fontId="6" fillId="0" borderId="64" xfId="0" applyFont="1" applyBorder="1" applyAlignment="1">
      <alignment horizontal="center" vertical="center"/>
    </xf>
    <xf numFmtId="167" fontId="6" fillId="0" borderId="29" xfId="0" applyNumberFormat="1" applyFont="1" applyBorder="1"/>
    <xf numFmtId="167" fontId="6" fillId="0" borderId="6" xfId="0" applyNumberFormat="1" applyFont="1" applyBorder="1"/>
    <xf numFmtId="0" fontId="6" fillId="0" borderId="6" xfId="0" applyFont="1" applyBorder="1" applyAlignment="1">
      <alignment wrapText="1"/>
    </xf>
    <xf numFmtId="167" fontId="6" fillId="0" borderId="0" xfId="0" applyNumberFormat="1" applyFont="1"/>
    <xf numFmtId="0" fontId="11" fillId="66" borderId="12" xfId="0" applyFont="1" applyFill="1" applyBorder="1" applyAlignment="1">
      <alignment horizontal="center"/>
    </xf>
    <xf numFmtId="0" fontId="11" fillId="66" borderId="15" xfId="0" applyFont="1" applyFill="1" applyBorder="1" applyAlignment="1">
      <alignment horizontal="center"/>
    </xf>
    <xf numFmtId="0" fontId="11" fillId="67" borderId="15" xfId="0" applyFont="1" applyFill="1" applyBorder="1" applyAlignment="1">
      <alignment horizontal="center"/>
    </xf>
    <xf numFmtId="0" fontId="11" fillId="39" borderId="15" xfId="0" applyFont="1" applyFill="1" applyBorder="1" applyAlignment="1">
      <alignment horizontal="center"/>
    </xf>
    <xf numFmtId="0" fontId="11" fillId="39" borderId="6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11" fillId="66" borderId="17" xfId="0" applyFont="1" applyFill="1" applyBorder="1" applyAlignment="1">
      <alignment horizontal="center"/>
    </xf>
    <xf numFmtId="0" fontId="11" fillId="66" borderId="22" xfId="0" applyFont="1" applyFill="1" applyBorder="1" applyAlignment="1">
      <alignment horizontal="center"/>
    </xf>
    <xf numFmtId="0" fontId="11" fillId="67" borderId="22" xfId="0" applyFont="1" applyFill="1" applyBorder="1" applyAlignment="1">
      <alignment horizontal="center"/>
    </xf>
    <xf numFmtId="0" fontId="11" fillId="39" borderId="22" xfId="0" applyFont="1" applyFill="1" applyBorder="1" applyAlignment="1">
      <alignment horizontal="center"/>
    </xf>
    <xf numFmtId="0" fontId="11" fillId="39" borderId="18" xfId="0" applyFont="1" applyFill="1" applyBorder="1" applyAlignment="1">
      <alignment horizontal="center"/>
    </xf>
    <xf numFmtId="0" fontId="14" fillId="9" borderId="41" xfId="0" applyFont="1" applyFill="1" applyBorder="1" applyAlignment="1">
      <alignment horizontal="left" vertical="top" wrapText="1"/>
    </xf>
    <xf numFmtId="0" fontId="6" fillId="9" borderId="5" xfId="0" applyFont="1" applyFill="1" applyBorder="1" applyAlignment="1">
      <alignment horizontal="left" wrapText="1"/>
    </xf>
    <xf numFmtId="0" fontId="14" fillId="9" borderId="5" xfId="0" applyFont="1" applyFill="1" applyBorder="1" applyAlignment="1">
      <alignment horizontal="left" vertical="top" wrapText="1"/>
    </xf>
    <xf numFmtId="0" fontId="14" fillId="9" borderId="22" xfId="0" applyFont="1" applyFill="1" applyBorder="1" applyAlignment="1">
      <alignment horizontal="left" vertical="top" wrapText="1"/>
    </xf>
    <xf numFmtId="0" fontId="13" fillId="9" borderId="6" xfId="0" applyFont="1" applyFill="1" applyBorder="1" applyAlignment="1">
      <alignment horizontal="center" vertical="center" wrapText="1"/>
    </xf>
    <xf numFmtId="0" fontId="13" fillId="9" borderId="18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/>
    </xf>
    <xf numFmtId="0" fontId="14" fillId="30" borderId="41" xfId="0" applyFont="1" applyFill="1" applyBorder="1" applyAlignment="1">
      <alignment horizontal="left" vertical="top" wrapText="1"/>
    </xf>
    <xf numFmtId="0" fontId="6" fillId="9" borderId="8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 wrapText="1"/>
    </xf>
    <xf numFmtId="0" fontId="73" fillId="0" borderId="6" xfId="0" applyFont="1" applyBorder="1" applyAlignment="1">
      <alignment wrapText="1"/>
    </xf>
    <xf numFmtId="14" fontId="0" fillId="0" borderId="6" xfId="0" applyNumberFormat="1" applyBorder="1"/>
    <xf numFmtId="0" fontId="74" fillId="0" borderId="6" xfId="0" applyFont="1" applyBorder="1" applyAlignment="1">
      <alignment wrapText="1"/>
    </xf>
    <xf numFmtId="0" fontId="75" fillId="0" borderId="6" xfId="0" applyFont="1" applyBorder="1" applyAlignment="1">
      <alignment horizontal="left" wrapText="1"/>
    </xf>
    <xf numFmtId="169" fontId="0" fillId="0" borderId="6" xfId="0" applyNumberFormat="1" applyBorder="1"/>
    <xf numFmtId="14" fontId="0" fillId="15" borderId="6" xfId="0" applyNumberFormat="1" applyFill="1" applyBorder="1"/>
    <xf numFmtId="0" fontId="13" fillId="8" borderId="6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wrapText="1"/>
    </xf>
    <xf numFmtId="0" fontId="13" fillId="8" borderId="29" xfId="0" applyFont="1" applyFill="1" applyBorder="1" applyAlignment="1">
      <alignment horizontal="center" vertical="center"/>
    </xf>
    <xf numFmtId="0" fontId="13" fillId="8" borderId="23" xfId="0" applyFont="1" applyFill="1" applyBorder="1" applyAlignment="1">
      <alignment horizontal="center" vertical="center"/>
    </xf>
    <xf numFmtId="0" fontId="2" fillId="3" borderId="5" xfId="2" applyFont="1" applyFill="1" applyBorder="1" applyAlignment="1">
      <alignment horizontal="left" vertical="top" wrapText="1"/>
    </xf>
    <xf numFmtId="0" fontId="2" fillId="3" borderId="41" xfId="2" applyFont="1" applyFill="1" applyBorder="1" applyAlignment="1">
      <alignment horizontal="left" vertical="top" wrapText="1"/>
    </xf>
    <xf numFmtId="0" fontId="64" fillId="9" borderId="53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64" fillId="9" borderId="54" xfId="0" applyFont="1" applyFill="1" applyBorder="1" applyAlignment="1">
      <alignment horizontal="center" vertical="center"/>
    </xf>
    <xf numFmtId="0" fontId="64" fillId="9" borderId="17" xfId="0" applyFont="1" applyFill="1" applyBorder="1" applyAlignment="1">
      <alignment horizontal="center"/>
    </xf>
    <xf numFmtId="0" fontId="64" fillId="9" borderId="22" xfId="0" applyFont="1" applyFill="1" applyBorder="1" applyAlignment="1">
      <alignment horizontal="center"/>
    </xf>
    <xf numFmtId="0" fontId="8" fillId="9" borderId="22" xfId="0" applyFont="1" applyFill="1" applyBorder="1" applyAlignment="1">
      <alignment horizontal="center"/>
    </xf>
    <xf numFmtId="0" fontId="8" fillId="21" borderId="22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0" fontId="6" fillId="9" borderId="15" xfId="0" applyFont="1" applyFill="1" applyBorder="1" applyAlignment="1">
      <alignment horizontal="center" vertical="center"/>
    </xf>
    <xf numFmtId="0" fontId="6" fillId="21" borderId="1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21" borderId="5" xfId="0" applyFont="1" applyFill="1" applyBorder="1" applyAlignment="1">
      <alignment horizontal="center" vertical="center"/>
    </xf>
    <xf numFmtId="0" fontId="6" fillId="9" borderId="39" xfId="0" applyFont="1" applyFill="1" applyBorder="1" applyAlignment="1">
      <alignment horizontal="center" vertical="center"/>
    </xf>
    <xf numFmtId="0" fontId="6" fillId="21" borderId="39" xfId="0" applyFont="1" applyFill="1" applyBorder="1" applyAlignment="1">
      <alignment horizontal="center" vertical="center"/>
    </xf>
    <xf numFmtId="0" fontId="6" fillId="9" borderId="41" xfId="0" applyFont="1" applyFill="1" applyBorder="1" applyAlignment="1">
      <alignment horizontal="center" vertical="center"/>
    </xf>
    <xf numFmtId="0" fontId="6" fillId="21" borderId="4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21" borderId="22" xfId="0" applyFont="1" applyFill="1" applyBorder="1" applyAlignment="1">
      <alignment horizontal="center" vertical="center"/>
    </xf>
    <xf numFmtId="0" fontId="14" fillId="15" borderId="55" xfId="0" applyFont="1" applyFill="1" applyBorder="1" applyAlignment="1">
      <alignment horizontal="left" vertical="top" wrapText="1"/>
    </xf>
    <xf numFmtId="0" fontId="6" fillId="15" borderId="5" xfId="0" applyFont="1" applyFill="1" applyBorder="1" applyAlignment="1">
      <alignment horizontal="center" vertical="center"/>
    </xf>
    <xf numFmtId="2" fontId="9" fillId="15" borderId="5" xfId="0" applyNumberFormat="1" applyFont="1" applyFill="1" applyBorder="1" applyAlignment="1">
      <alignment horizontal="center"/>
    </xf>
    <xf numFmtId="0" fontId="9" fillId="15" borderId="6" xfId="0" applyFont="1" applyFill="1" applyBorder="1" applyAlignment="1">
      <alignment horizontal="center"/>
    </xf>
    <xf numFmtId="0" fontId="6" fillId="9" borderId="20" xfId="0" applyFont="1" applyFill="1" applyBorder="1" applyAlignment="1">
      <alignment horizontal="center" vertical="center"/>
    </xf>
    <xf numFmtId="0" fontId="6" fillId="21" borderId="20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21" borderId="6" xfId="0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/>
    </xf>
    <xf numFmtId="0" fontId="64" fillId="0" borderId="6" xfId="0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16" fontId="6" fillId="0" borderId="6" xfId="0" applyNumberFormat="1" applyFont="1" applyBorder="1" applyAlignment="1">
      <alignment wrapText="1"/>
    </xf>
    <xf numFmtId="0" fontId="14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80" fillId="21" borderId="6" xfId="0" applyFont="1" applyFill="1" applyBorder="1" applyAlignment="1">
      <alignment horizontal="center" vertical="center" wrapText="1"/>
    </xf>
    <xf numFmtId="0" fontId="80" fillId="48" borderId="6" xfId="0" applyFont="1" applyFill="1" applyBorder="1" applyAlignment="1">
      <alignment horizontal="center" vertical="center" wrapText="1"/>
    </xf>
    <xf numFmtId="0" fontId="80" fillId="8" borderId="6" xfId="0" applyFont="1" applyFill="1" applyBorder="1" applyAlignment="1">
      <alignment horizontal="center" vertical="center" wrapText="1"/>
    </xf>
    <xf numFmtId="0" fontId="81" fillId="21" borderId="6" xfId="0" applyFont="1" applyFill="1" applyBorder="1" applyAlignment="1">
      <alignment horizontal="center" vertical="center" wrapText="1"/>
    </xf>
    <xf numFmtId="0" fontId="81" fillId="8" borderId="6" xfId="0" applyFont="1" applyFill="1" applyBorder="1" applyAlignment="1">
      <alignment horizontal="center" vertical="center" wrapText="1"/>
    </xf>
    <xf numFmtId="16" fontId="6" fillId="21" borderId="6" xfId="0" applyNumberFormat="1" applyFont="1" applyFill="1" applyBorder="1" applyAlignment="1">
      <alignment wrapText="1"/>
    </xf>
    <xf numFmtId="0" fontId="6" fillId="21" borderId="6" xfId="0" applyFont="1" applyFill="1" applyBorder="1" applyAlignment="1">
      <alignment horizontal="left" vertical="center" wrapText="1"/>
    </xf>
    <xf numFmtId="0" fontId="81" fillId="48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wrapText="1"/>
    </xf>
    <xf numFmtId="0" fontId="49" fillId="9" borderId="53" xfId="0" applyFont="1" applyFill="1" applyBorder="1" applyAlignment="1">
      <alignment horizontal="center" wrapText="1"/>
    </xf>
    <xf numFmtId="0" fontId="8" fillId="9" borderId="5" xfId="0" applyFont="1" applyFill="1" applyBorder="1" applyAlignment="1">
      <alignment horizontal="center" wrapText="1"/>
    </xf>
    <xf numFmtId="0" fontId="49" fillId="9" borderId="54" xfId="0" applyFont="1" applyFill="1" applyBorder="1" applyAlignment="1">
      <alignment horizontal="center" vertical="center" wrapText="1"/>
    </xf>
    <xf numFmtId="0" fontId="64" fillId="9" borderId="17" xfId="0" applyFont="1" applyFill="1" applyBorder="1" applyAlignment="1">
      <alignment horizontal="center" vertical="center"/>
    </xf>
    <xf numFmtId="0" fontId="64" fillId="21" borderId="22" xfId="0" applyFont="1" applyFill="1" applyBorder="1" applyAlignment="1">
      <alignment horizontal="center"/>
    </xf>
    <xf numFmtId="0" fontId="14" fillId="0" borderId="53" xfId="0" applyFont="1" applyBorder="1" applyAlignment="1">
      <alignment horizontal="left" wrapText="1"/>
    </xf>
    <xf numFmtId="2" fontId="9" fillId="0" borderId="5" xfId="0" applyNumberFormat="1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2" fontId="9" fillId="0" borderId="6" xfId="0" applyNumberFormat="1" applyFont="1" applyBorder="1" applyAlignment="1">
      <alignment horizontal="center" wrapText="1"/>
    </xf>
    <xf numFmtId="0" fontId="14" fillId="9" borderId="6" xfId="0" applyFont="1" applyFill="1" applyBorder="1" applyAlignment="1">
      <alignment horizontal="left" vertical="top" wrapText="1"/>
    </xf>
    <xf numFmtId="0" fontId="64" fillId="21" borderId="6" xfId="0" applyFont="1" applyFill="1" applyBorder="1" applyAlignment="1">
      <alignment horizontal="center" vertical="center" textRotation="90"/>
    </xf>
    <xf numFmtId="0" fontId="6" fillId="0" borderId="6" xfId="0" applyFont="1" applyBorder="1" applyAlignment="1">
      <alignment horizontal="center" wrapText="1"/>
    </xf>
    <xf numFmtId="0" fontId="49" fillId="0" borderId="6" xfId="0" applyFont="1" applyBorder="1" applyAlignment="1">
      <alignment horizontal="center" wrapText="1"/>
    </xf>
    <xf numFmtId="2" fontId="9" fillId="0" borderId="35" xfId="0" applyNumberFormat="1" applyFont="1" applyBorder="1" applyAlignment="1">
      <alignment horizontal="center" wrapText="1"/>
    </xf>
    <xf numFmtId="0" fontId="9" fillId="0" borderId="35" xfId="0" applyFont="1" applyBorder="1" applyAlignment="1">
      <alignment horizontal="center" wrapText="1"/>
    </xf>
    <xf numFmtId="16" fontId="6" fillId="0" borderId="6" xfId="0" applyNumberFormat="1" applyFont="1" applyBorder="1" applyAlignment="1">
      <alignment horizontal="center" vertical="center" wrapText="1"/>
    </xf>
    <xf numFmtId="0" fontId="14" fillId="21" borderId="6" xfId="0" applyFont="1" applyFill="1" applyBorder="1" applyAlignment="1">
      <alignment wrapText="1"/>
    </xf>
    <xf numFmtId="0" fontId="14" fillId="0" borderId="6" xfId="0" applyFont="1" applyBorder="1" applyAlignment="1">
      <alignment wrapText="1"/>
    </xf>
    <xf numFmtId="0" fontId="6" fillId="0" borderId="6" xfId="0" applyFont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/>
    </xf>
    <xf numFmtId="0" fontId="11" fillId="9" borderId="80" xfId="0" applyFont="1" applyFill="1" applyBorder="1" applyAlignment="1">
      <alignment horizontal="center" vertical="center"/>
    </xf>
    <xf numFmtId="0" fontId="11" fillId="9" borderId="51" xfId="0" applyFont="1" applyFill="1" applyBorder="1" applyAlignment="1">
      <alignment horizontal="center"/>
    </xf>
    <xf numFmtId="0" fontId="11" fillId="9" borderId="50" xfId="0" applyFont="1" applyFill="1" applyBorder="1" applyAlignment="1">
      <alignment horizontal="center"/>
    </xf>
    <xf numFmtId="0" fontId="11" fillId="9" borderId="20" xfId="0" applyFont="1" applyFill="1" applyBorder="1" applyAlignment="1">
      <alignment horizontal="center"/>
    </xf>
    <xf numFmtId="0" fontId="27" fillId="9" borderId="0" xfId="0" applyFont="1" applyFill="1" applyAlignment="1">
      <alignment horizontal="center"/>
    </xf>
    <xf numFmtId="0" fontId="11" fillId="9" borderId="7" xfId="0" applyFont="1" applyFill="1" applyBorder="1" applyAlignment="1">
      <alignment horizontal="left"/>
    </xf>
    <xf numFmtId="0" fontId="11" fillId="9" borderId="7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/>
    </xf>
    <xf numFmtId="0" fontId="3" fillId="9" borderId="31" xfId="0" applyFont="1" applyFill="1" applyBorder="1" applyAlignment="1">
      <alignment horizontal="center" vertical="center"/>
    </xf>
    <xf numFmtId="2" fontId="3" fillId="0" borderId="53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8" fillId="9" borderId="0" xfId="0" applyFont="1" applyFill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2" fontId="3" fillId="0" borderId="55" xfId="0" applyNumberFormat="1" applyFont="1" applyBorder="1" applyAlignment="1">
      <alignment horizontal="center"/>
    </xf>
    <xf numFmtId="0" fontId="13" fillId="9" borderId="67" xfId="0" applyFont="1" applyFill="1" applyBorder="1" applyAlignment="1">
      <alignment horizontal="center" vertical="center"/>
    </xf>
    <xf numFmtId="2" fontId="3" fillId="0" borderId="54" xfId="0" applyNumberFormat="1" applyFon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14" fillId="9" borderId="77" xfId="0" applyFont="1" applyFill="1" applyBorder="1" applyAlignment="1">
      <alignment horizontal="left" vertical="top" wrapText="1"/>
    </xf>
    <xf numFmtId="0" fontId="14" fillId="9" borderId="69" xfId="0" applyFont="1" applyFill="1" applyBorder="1" applyAlignment="1">
      <alignment horizontal="left" vertical="top" wrapText="1"/>
    </xf>
    <xf numFmtId="2" fontId="3" fillId="0" borderId="35" xfId="0" applyNumberFormat="1" applyFont="1" applyBorder="1" applyAlignment="1">
      <alignment horizontal="center"/>
    </xf>
    <xf numFmtId="0" fontId="0" fillId="0" borderId="0" xfId="0" applyAlignment="1">
      <alignment textRotation="180"/>
    </xf>
    <xf numFmtId="170" fontId="31" fillId="0" borderId="6" xfId="0" applyNumberFormat="1" applyFont="1" applyBorder="1" applyAlignment="1">
      <alignment horizontal="center" vertical="center"/>
    </xf>
    <xf numFmtId="0" fontId="64" fillId="9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left"/>
    </xf>
    <xf numFmtId="0" fontId="8" fillId="9" borderId="23" xfId="0" applyFont="1" applyFill="1" applyBorder="1" applyAlignment="1">
      <alignment horizontal="center"/>
    </xf>
    <xf numFmtId="0" fontId="8" fillId="20" borderId="22" xfId="0" applyFont="1" applyFill="1" applyBorder="1" applyAlignment="1">
      <alignment horizontal="center"/>
    </xf>
    <xf numFmtId="0" fontId="64" fillId="9" borderId="23" xfId="0" applyFont="1" applyFill="1" applyBorder="1" applyAlignment="1">
      <alignment horizontal="center"/>
    </xf>
    <xf numFmtId="0" fontId="6" fillId="9" borderId="16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4" fillId="5" borderId="15" xfId="4" applyFont="1" applyFill="1" applyBorder="1" applyAlignment="1">
      <alignment horizontal="center" vertical="center"/>
    </xf>
    <xf numFmtId="0" fontId="6" fillId="20" borderId="15" xfId="0" applyFont="1" applyFill="1" applyBorder="1" applyAlignment="1">
      <alignment horizontal="center" vertical="center"/>
    </xf>
    <xf numFmtId="0" fontId="4" fillId="5" borderId="13" xfId="4" applyFont="1" applyFill="1" applyBorder="1" applyAlignment="1">
      <alignment horizontal="center" vertical="center"/>
    </xf>
    <xf numFmtId="0" fontId="6" fillId="69" borderId="66" xfId="0" applyFont="1" applyFill="1" applyBorder="1" applyAlignment="1">
      <alignment horizontal="center" vertical="center"/>
    </xf>
    <xf numFmtId="0" fontId="6" fillId="9" borderId="29" xfId="0" applyFont="1" applyFill="1" applyBorder="1" applyAlignment="1">
      <alignment horizontal="center" vertical="center"/>
    </xf>
    <xf numFmtId="0" fontId="6" fillId="20" borderId="5" xfId="0" applyFont="1" applyFill="1" applyBorder="1" applyAlignment="1">
      <alignment horizontal="center" vertical="center"/>
    </xf>
    <xf numFmtId="0" fontId="6" fillId="69" borderId="69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4" fillId="5" borderId="22" xfId="4" applyFont="1" applyFill="1" applyBorder="1" applyAlignment="1">
      <alignment horizontal="center" vertical="center"/>
    </xf>
    <xf numFmtId="0" fontId="6" fillId="20" borderId="22" xfId="0" applyFont="1" applyFill="1" applyBorder="1" applyAlignment="1">
      <alignment horizontal="center" vertical="center"/>
    </xf>
    <xf numFmtId="0" fontId="6" fillId="69" borderId="68" xfId="0" applyFont="1" applyFill="1" applyBorder="1" applyAlignment="1">
      <alignment horizontal="center" vertical="center"/>
    </xf>
    <xf numFmtId="0" fontId="6" fillId="9" borderId="64" xfId="0" applyFont="1" applyFill="1" applyBorder="1" applyAlignment="1">
      <alignment horizontal="center" vertical="center"/>
    </xf>
    <xf numFmtId="0" fontId="4" fillId="5" borderId="134" xfId="4" applyFont="1" applyFill="1" applyBorder="1" applyAlignment="1">
      <alignment horizontal="center" vertical="center"/>
    </xf>
    <xf numFmtId="0" fontId="6" fillId="20" borderId="41" xfId="0" applyFont="1" applyFill="1" applyBorder="1" applyAlignment="1">
      <alignment horizontal="center" vertical="center"/>
    </xf>
    <xf numFmtId="0" fontId="6" fillId="69" borderId="77" xfId="0" applyFont="1" applyFill="1" applyBorder="1" applyAlignment="1">
      <alignment horizontal="center" vertical="center"/>
    </xf>
    <xf numFmtId="0" fontId="49" fillId="0" borderId="73" xfId="0" applyFont="1" applyBorder="1" applyAlignment="1">
      <alignment horizontal="center" wrapText="1"/>
    </xf>
    <xf numFmtId="0" fontId="49" fillId="0" borderId="39" xfId="0" applyFont="1" applyBorder="1" applyAlignment="1">
      <alignment horizontal="center" wrapText="1"/>
    </xf>
    <xf numFmtId="168" fontId="14" fillId="0" borderId="64" xfId="0" applyNumberFormat="1" applyFont="1" applyBorder="1" applyAlignment="1">
      <alignment horizontal="center" vertical="center" wrapText="1"/>
    </xf>
    <xf numFmtId="0" fontId="14" fillId="0" borderId="41" xfId="0" applyFont="1" applyBorder="1" applyAlignment="1">
      <alignment wrapText="1"/>
    </xf>
    <xf numFmtId="168" fontId="14" fillId="0" borderId="29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wrapText="1"/>
    </xf>
    <xf numFmtId="168" fontId="14" fillId="0" borderId="23" xfId="0" applyNumberFormat="1" applyFont="1" applyBorder="1" applyAlignment="1">
      <alignment horizontal="center" vertical="center" wrapText="1"/>
    </xf>
    <xf numFmtId="0" fontId="14" fillId="0" borderId="22" xfId="0" applyFont="1" applyBorder="1" applyAlignment="1">
      <alignment wrapText="1"/>
    </xf>
    <xf numFmtId="16" fontId="14" fillId="0" borderId="22" xfId="0" applyNumberFormat="1" applyFont="1" applyBorder="1" applyAlignment="1">
      <alignment wrapText="1"/>
    </xf>
    <xf numFmtId="0" fontId="14" fillId="20" borderId="41" xfId="0" applyFont="1" applyFill="1" applyBorder="1" applyAlignment="1">
      <alignment wrapText="1"/>
    </xf>
    <xf numFmtId="168" fontId="73" fillId="0" borderId="29" xfId="0" applyNumberFormat="1" applyFont="1" applyBorder="1" applyAlignment="1">
      <alignment horizontal="center" vertical="center" wrapText="1"/>
    </xf>
    <xf numFmtId="0" fontId="73" fillId="0" borderId="5" xfId="0" applyFont="1" applyBorder="1" applyAlignment="1">
      <alignment wrapText="1"/>
    </xf>
    <xf numFmtId="168" fontId="73" fillId="0" borderId="23" xfId="0" applyNumberFormat="1" applyFont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/>
    <xf numFmtId="0" fontId="27" fillId="9" borderId="53" xfId="0" applyFont="1" applyFill="1" applyBorder="1" applyAlignment="1">
      <alignment horizontal="center"/>
    </xf>
    <xf numFmtId="0" fontId="27" fillId="48" borderId="53" xfId="0" applyFont="1" applyFill="1" applyBorder="1" applyAlignment="1">
      <alignment horizontal="center" vertical="center"/>
    </xf>
    <xf numFmtId="0" fontId="27" fillId="9" borderId="16" xfId="0" applyFont="1" applyFill="1" applyBorder="1" applyAlignment="1">
      <alignment horizontal="center"/>
    </xf>
    <xf numFmtId="0" fontId="33" fillId="9" borderId="12" xfId="0" applyFont="1" applyFill="1" applyBorder="1" applyAlignment="1">
      <alignment horizontal="center"/>
    </xf>
    <xf numFmtId="0" fontId="27" fillId="9" borderId="22" xfId="0" applyFont="1" applyFill="1" applyBorder="1" applyAlignment="1">
      <alignment horizontal="center" vertical="center"/>
    </xf>
    <xf numFmtId="0" fontId="27" fillId="9" borderId="54" xfId="0" applyFont="1" applyFill="1" applyBorder="1" applyAlignment="1">
      <alignment horizontal="center"/>
    </xf>
    <xf numFmtId="0" fontId="33" fillId="9" borderId="17" xfId="0" applyFont="1" applyFill="1" applyBorder="1" applyAlignment="1">
      <alignment horizontal="center"/>
    </xf>
    <xf numFmtId="0" fontId="33" fillId="9" borderId="23" xfId="0" applyFont="1" applyFill="1" applyBorder="1" applyAlignment="1">
      <alignment horizontal="center"/>
    </xf>
    <xf numFmtId="0" fontId="28" fillId="0" borderId="53" xfId="0" applyFont="1" applyBorder="1" applyAlignment="1">
      <alignment horizontal="left" wrapText="1"/>
    </xf>
    <xf numFmtId="0" fontId="28" fillId="9" borderId="15" xfId="0" applyFont="1" applyFill="1" applyBorder="1" applyAlignment="1">
      <alignment horizontal="center" vertical="center"/>
    </xf>
    <xf numFmtId="0" fontId="28" fillId="9" borderId="16" xfId="0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2" fontId="70" fillId="0" borderId="12" xfId="0" applyNumberFormat="1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29" fillId="9" borderId="55" xfId="0" applyFont="1" applyFill="1" applyBorder="1" applyAlignment="1">
      <alignment horizontal="left" vertical="top" wrapText="1"/>
    </xf>
    <xf numFmtId="0" fontId="28" fillId="9" borderId="55" xfId="0" applyFont="1" applyFill="1" applyBorder="1" applyAlignment="1">
      <alignment horizontal="center" vertical="center"/>
    </xf>
    <xf numFmtId="2" fontId="70" fillId="0" borderId="24" xfId="0" applyNumberFormat="1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29" xfId="0" applyFont="1" applyBorder="1" applyAlignment="1">
      <alignment horizontal="center"/>
    </xf>
    <xf numFmtId="49" fontId="21" fillId="9" borderId="135" xfId="0" applyNumberFormat="1" applyFont="1" applyFill="1" applyBorder="1" applyAlignment="1">
      <alignment horizontal="center" vertical="top" wrapText="1"/>
    </xf>
    <xf numFmtId="49" fontId="21" fillId="9" borderId="136" xfId="0" applyNumberFormat="1" applyFont="1" applyFill="1" applyBorder="1" applyAlignment="1">
      <alignment horizontal="center" vertical="top" wrapText="1"/>
    </xf>
    <xf numFmtId="49" fontId="21" fillId="9" borderId="137" xfId="0" applyNumberFormat="1" applyFont="1" applyFill="1" applyBorder="1" applyAlignment="1">
      <alignment horizontal="center" vertical="top" wrapText="1"/>
    </xf>
    <xf numFmtId="0" fontId="29" fillId="9" borderId="59" xfId="0" applyFont="1" applyFill="1" applyBorder="1" applyAlignment="1">
      <alignment horizontal="left" vertical="top" wrapText="1"/>
    </xf>
    <xf numFmtId="0" fontId="28" fillId="9" borderId="59" xfId="0" applyFont="1" applyFill="1" applyBorder="1" applyAlignment="1">
      <alignment horizontal="center" vertical="center"/>
    </xf>
    <xf numFmtId="2" fontId="70" fillId="0" borderId="17" xfId="0" applyNumberFormat="1" applyFont="1" applyBorder="1" applyAlignment="1">
      <alignment horizontal="center"/>
    </xf>
    <xf numFmtId="0" fontId="28" fillId="0" borderId="18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49" fontId="21" fillId="9" borderId="138" xfId="0" applyNumberFormat="1" applyFont="1" applyFill="1" applyBorder="1" applyAlignment="1">
      <alignment horizontal="center" vertical="top" wrapText="1"/>
    </xf>
    <xf numFmtId="0" fontId="29" fillId="9" borderId="56" xfId="0" applyFont="1" applyFill="1" applyBorder="1" applyAlignment="1">
      <alignment horizontal="left" vertical="top" wrapText="1"/>
    </xf>
    <xf numFmtId="0" fontId="28" fillId="9" borderId="12" xfId="0" applyFont="1" applyFill="1" applyBorder="1" applyAlignment="1">
      <alignment horizontal="center" vertical="center"/>
    </xf>
    <xf numFmtId="0" fontId="28" fillId="9" borderId="24" xfId="0" applyFont="1" applyFill="1" applyBorder="1" applyAlignment="1">
      <alignment horizontal="center" vertical="center"/>
    </xf>
    <xf numFmtId="0" fontId="28" fillId="9" borderId="56" xfId="0" applyFont="1" applyFill="1" applyBorder="1" applyAlignment="1">
      <alignment horizontal="center" vertical="center"/>
    </xf>
    <xf numFmtId="0" fontId="29" fillId="9" borderId="54" xfId="0" applyFont="1" applyFill="1" applyBorder="1" applyAlignment="1">
      <alignment horizontal="left" vertical="top" wrapText="1"/>
    </xf>
    <xf numFmtId="0" fontId="28" fillId="9" borderId="17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center" vertical="center"/>
    </xf>
    <xf numFmtId="49" fontId="21" fillId="9" borderId="139" xfId="0" applyNumberFormat="1" applyFont="1" applyFill="1" applyBorder="1" applyAlignment="1">
      <alignment horizontal="center" vertical="top" wrapText="1"/>
    </xf>
    <xf numFmtId="0" fontId="40" fillId="0" borderId="8" xfId="0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70" fillId="0" borderId="0" xfId="0" applyFont="1" applyAlignment="1">
      <alignment horizontal="center" vertical="center"/>
    </xf>
    <xf numFmtId="0" fontId="70" fillId="0" borderId="0" xfId="0" applyFont="1"/>
    <xf numFmtId="2" fontId="70" fillId="0" borderId="35" xfId="0" applyNumberFormat="1" applyFont="1" applyBorder="1" applyAlignment="1">
      <alignment horizontal="center"/>
    </xf>
    <xf numFmtId="0" fontId="28" fillId="0" borderId="35" xfId="0" applyFont="1" applyBorder="1" applyAlignment="1">
      <alignment horizontal="center"/>
    </xf>
    <xf numFmtId="171" fontId="70" fillId="0" borderId="6" xfId="0" applyNumberFormat="1" applyFont="1" applyBorder="1" applyAlignment="1">
      <alignment horizontal="center" vertical="center"/>
    </xf>
    <xf numFmtId="0" fontId="70" fillId="0" borderId="6" xfId="0" applyFont="1" applyBorder="1" applyAlignment="1">
      <alignment wrapText="1"/>
    </xf>
    <xf numFmtId="0" fontId="13" fillId="0" borderId="0" xfId="0" applyFont="1" applyAlignment="1">
      <alignment horizontal="center" vertical="center"/>
    </xf>
    <xf numFmtId="171" fontId="13" fillId="0" borderId="6" xfId="0" applyNumberFormat="1" applyFont="1" applyBorder="1" applyAlignment="1">
      <alignment horizontal="center" vertical="center"/>
    </xf>
    <xf numFmtId="2" fontId="29" fillId="9" borderId="6" xfId="0" applyNumberFormat="1" applyFont="1" applyFill="1" applyBorder="1" applyAlignment="1">
      <alignment horizontal="center" vertical="top" wrapText="1"/>
    </xf>
    <xf numFmtId="1" fontId="0" fillId="0" borderId="6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6" fillId="0" borderId="6" xfId="0" applyFont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14" fontId="8" fillId="8" borderId="3" xfId="0" applyNumberFormat="1" applyFont="1" applyFill="1" applyBorder="1" applyAlignment="1">
      <alignment horizontal="center" vertical="center"/>
    </xf>
    <xf numFmtId="14" fontId="8" fillId="8" borderId="4" xfId="0" applyNumberFormat="1" applyFont="1" applyFill="1" applyBorder="1" applyAlignment="1">
      <alignment horizontal="center" vertical="center"/>
    </xf>
    <xf numFmtId="14" fontId="8" fillId="8" borderId="5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2" fontId="7" fillId="7" borderId="3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9" borderId="3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8" fillId="9" borderId="52" xfId="0" applyFont="1" applyFill="1" applyBorder="1" applyAlignment="1">
      <alignment horizontal="center" vertical="center" wrapText="1"/>
    </xf>
    <xf numFmtId="0" fontId="19" fillId="9" borderId="54" xfId="0" applyFont="1" applyFill="1" applyBorder="1" applyAlignment="1">
      <alignment horizontal="center" vertical="center" wrapText="1"/>
    </xf>
    <xf numFmtId="0" fontId="27" fillId="16" borderId="46" xfId="0" applyFont="1" applyFill="1" applyBorder="1" applyAlignment="1">
      <alignment horizontal="center"/>
    </xf>
    <xf numFmtId="0" fontId="27" fillId="16" borderId="65" xfId="0" applyFont="1" applyFill="1" applyBorder="1" applyAlignment="1">
      <alignment horizontal="center"/>
    </xf>
    <xf numFmtId="0" fontId="27" fillId="17" borderId="46" xfId="0" applyFont="1" applyFill="1" applyBorder="1" applyAlignment="1">
      <alignment horizontal="center"/>
    </xf>
    <xf numFmtId="0" fontId="27" fillId="17" borderId="65" xfId="0" applyFont="1" applyFill="1" applyBorder="1" applyAlignment="1">
      <alignment horizontal="center"/>
    </xf>
    <xf numFmtId="0" fontId="27" fillId="17" borderId="66" xfId="0" applyFont="1" applyFill="1" applyBorder="1" applyAlignment="1">
      <alignment horizontal="center"/>
    </xf>
    <xf numFmtId="0" fontId="27" fillId="8" borderId="65" xfId="0" applyFont="1" applyFill="1" applyBorder="1" applyAlignment="1">
      <alignment horizontal="center"/>
    </xf>
    <xf numFmtId="0" fontId="27" fillId="8" borderId="66" xfId="0" applyFont="1" applyFill="1" applyBorder="1" applyAlignment="1">
      <alignment horizontal="center"/>
    </xf>
    <xf numFmtId="0" fontId="27" fillId="18" borderId="65" xfId="0" applyFont="1" applyFill="1" applyBorder="1" applyAlignment="1">
      <alignment horizontal="center"/>
    </xf>
    <xf numFmtId="0" fontId="27" fillId="18" borderId="66" xfId="0" applyFont="1" applyFill="1" applyBorder="1" applyAlignment="1">
      <alignment horizontal="center"/>
    </xf>
    <xf numFmtId="0" fontId="27" fillId="11" borderId="65" xfId="0" applyFont="1" applyFill="1" applyBorder="1" applyAlignment="1">
      <alignment horizontal="center"/>
    </xf>
    <xf numFmtId="0" fontId="27" fillId="11" borderId="66" xfId="0" applyFont="1" applyFill="1" applyBorder="1" applyAlignment="1">
      <alignment horizontal="center"/>
    </xf>
    <xf numFmtId="0" fontId="27" fillId="10" borderId="65" xfId="0" applyFont="1" applyFill="1" applyBorder="1" applyAlignment="1">
      <alignment horizontal="center"/>
    </xf>
    <xf numFmtId="0" fontId="27" fillId="10" borderId="66" xfId="0" applyFont="1" applyFill="1" applyBorder="1" applyAlignment="1">
      <alignment horizontal="center"/>
    </xf>
    <xf numFmtId="0" fontId="27" fillId="20" borderId="65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9" borderId="67" xfId="0" applyFont="1" applyFill="1" applyBorder="1" applyAlignment="1">
      <alignment horizontal="center"/>
    </xf>
    <xf numFmtId="0" fontId="27" fillId="9" borderId="22" xfId="0" applyFont="1" applyFill="1" applyBorder="1" applyAlignment="1">
      <alignment horizontal="center"/>
    </xf>
    <xf numFmtId="0" fontId="27" fillId="9" borderId="38" xfId="0" applyFont="1" applyFill="1" applyBorder="1" applyAlignment="1">
      <alignment horizontal="center"/>
    </xf>
    <xf numFmtId="0" fontId="11" fillId="7" borderId="86" xfId="0" applyFont="1" applyFill="1" applyBorder="1" applyAlignment="1">
      <alignment horizontal="center"/>
    </xf>
    <xf numFmtId="0" fontId="11" fillId="7" borderId="86" xfId="0" applyFont="1" applyFill="1" applyBorder="1"/>
    <xf numFmtId="0" fontId="11" fillId="3" borderId="86" xfId="0" applyFont="1" applyFill="1" applyBorder="1" applyAlignment="1">
      <alignment horizontal="center"/>
    </xf>
    <xf numFmtId="0" fontId="11" fillId="32" borderId="86" xfId="0" applyFont="1" applyFill="1" applyBorder="1" applyAlignment="1">
      <alignment horizontal="center"/>
    </xf>
    <xf numFmtId="0" fontId="11" fillId="33" borderId="86" xfId="0" applyFont="1" applyFill="1" applyBorder="1" applyAlignment="1">
      <alignment horizontal="center"/>
    </xf>
    <xf numFmtId="0" fontId="11" fillId="34" borderId="86" xfId="0" applyFont="1" applyFill="1" applyBorder="1" applyAlignment="1">
      <alignment horizontal="center"/>
    </xf>
    <xf numFmtId="0" fontId="11" fillId="35" borderId="87" xfId="0" applyFont="1" applyFill="1" applyBorder="1" applyAlignment="1">
      <alignment horizontal="center"/>
    </xf>
    <xf numFmtId="0" fontId="11" fillId="35" borderId="88" xfId="0" applyFont="1" applyFill="1" applyBorder="1" applyAlignment="1">
      <alignment horizontal="center"/>
    </xf>
    <xf numFmtId="0" fontId="11" fillId="35" borderId="89" xfId="0" applyFont="1" applyFill="1" applyBorder="1" applyAlignment="1">
      <alignment horizontal="center"/>
    </xf>
    <xf numFmtId="0" fontId="37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0" fillId="0" borderId="0" xfId="0"/>
    <xf numFmtId="0" fontId="11" fillId="9" borderId="46" xfId="0" applyFont="1" applyFill="1" applyBorder="1" applyAlignment="1">
      <alignment horizontal="center"/>
    </xf>
    <xf numFmtId="0" fontId="11" fillId="9" borderId="65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14" fontId="11" fillId="9" borderId="31" xfId="0" applyNumberFormat="1" applyFont="1" applyFill="1" applyBorder="1" applyAlignment="1">
      <alignment horizontal="center"/>
    </xf>
    <xf numFmtId="165" fontId="39" fillId="13" borderId="93" xfId="0" applyNumberFormat="1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165" fontId="39" fillId="13" borderId="94" xfId="0" applyNumberFormat="1" applyFont="1" applyFill="1" applyBorder="1" applyAlignment="1">
      <alignment horizontal="center"/>
    </xf>
    <xf numFmtId="0" fontId="40" fillId="9" borderId="49" xfId="0" applyFont="1" applyFill="1" applyBorder="1" applyAlignment="1">
      <alignment horizontal="center"/>
    </xf>
    <xf numFmtId="0" fontId="40" fillId="9" borderId="96" xfId="0" applyFont="1" applyFill="1" applyBorder="1" applyAlignment="1">
      <alignment horizontal="center"/>
    </xf>
    <xf numFmtId="0" fontId="40" fillId="9" borderId="20" xfId="0" applyFont="1" applyFill="1" applyBorder="1" applyAlignment="1">
      <alignment horizontal="center"/>
    </xf>
    <xf numFmtId="0" fontId="18" fillId="13" borderId="27" xfId="0" applyFont="1" applyFill="1" applyBorder="1" applyAlignment="1">
      <alignment horizontal="center"/>
    </xf>
    <xf numFmtId="0" fontId="40" fillId="9" borderId="37" xfId="0" applyFont="1" applyFill="1" applyBorder="1" applyAlignment="1">
      <alignment horizontal="center"/>
    </xf>
    <xf numFmtId="0" fontId="4" fillId="5" borderId="0" xfId="4" applyFont="1" applyFill="1" applyAlignment="1">
      <alignment horizontal="center" vertical="center" wrapText="1"/>
    </xf>
    <xf numFmtId="0" fontId="4" fillId="5" borderId="0" xfId="4" applyFont="1" applyFill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11" fillId="44" borderId="86" xfId="0" applyFont="1" applyFill="1" applyBorder="1" applyAlignment="1">
      <alignment horizontal="center"/>
    </xf>
    <xf numFmtId="0" fontId="11" fillId="45" borderId="86" xfId="0" applyFont="1" applyFill="1" applyBorder="1" applyAlignment="1">
      <alignment horizontal="center"/>
    </xf>
    <xf numFmtId="0" fontId="11" fillId="33" borderId="87" xfId="0" applyFont="1" applyFill="1" applyBorder="1" applyAlignment="1">
      <alignment horizontal="center"/>
    </xf>
    <xf numFmtId="0" fontId="11" fillId="33" borderId="89" xfId="0" applyFont="1" applyFill="1" applyBorder="1" applyAlignment="1">
      <alignment horizontal="center"/>
    </xf>
    <xf numFmtId="0" fontId="50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3" fillId="9" borderId="13" xfId="0" applyFont="1" applyFill="1" applyBorder="1" applyAlignment="1">
      <alignment horizontal="center" vertical="center" wrapText="1"/>
    </xf>
    <xf numFmtId="0" fontId="54" fillId="9" borderId="7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8" fillId="16" borderId="65" xfId="0" applyFont="1" applyFill="1" applyBorder="1" applyAlignment="1">
      <alignment horizontal="center" vertical="center" wrapText="1"/>
    </xf>
    <xf numFmtId="0" fontId="8" fillId="16" borderId="15" xfId="0" applyFont="1" applyFill="1" applyBorder="1" applyAlignment="1">
      <alignment horizontal="center" vertical="center" wrapText="1"/>
    </xf>
    <xf numFmtId="0" fontId="8" fillId="9" borderId="31" xfId="0" applyFont="1" applyFill="1" applyBorder="1" applyAlignment="1">
      <alignment horizontal="center" vertical="center" wrapText="1"/>
    </xf>
    <xf numFmtId="0" fontId="8" fillId="9" borderId="65" xfId="0" applyFont="1" applyFill="1" applyBorder="1" applyAlignment="1">
      <alignment horizontal="center" vertical="center" wrapText="1"/>
    </xf>
    <xf numFmtId="0" fontId="8" fillId="9" borderId="15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47" borderId="7" xfId="0" applyFont="1" applyFill="1" applyBorder="1" applyAlignment="1">
      <alignment horizontal="center" vertical="center" wrapText="1"/>
    </xf>
    <xf numFmtId="0" fontId="8" fillId="47" borderId="50" xfId="0" applyFont="1" applyFill="1" applyBorder="1" applyAlignment="1">
      <alignment horizontal="center" vertical="center" wrapText="1"/>
    </xf>
    <xf numFmtId="0" fontId="55" fillId="49" borderId="6" xfId="0" applyFont="1" applyFill="1" applyBorder="1" applyAlignment="1">
      <alignment horizontal="center" vertical="center" wrapText="1"/>
    </xf>
    <xf numFmtId="0" fontId="56" fillId="0" borderId="6" xfId="0" applyFont="1" applyBorder="1" applyAlignment="1">
      <alignment wrapText="1"/>
    </xf>
    <xf numFmtId="0" fontId="55" fillId="50" borderId="6" xfId="0" applyFont="1" applyFill="1" applyBorder="1" applyAlignment="1">
      <alignment horizontal="center" vertical="center" wrapText="1"/>
    </xf>
    <xf numFmtId="0" fontId="55" fillId="7" borderId="6" xfId="0" applyFont="1" applyFill="1" applyBorder="1" applyAlignment="1">
      <alignment horizontal="center" vertical="center" wrapText="1"/>
    </xf>
    <xf numFmtId="0" fontId="56" fillId="7" borderId="6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168" fontId="9" fillId="47" borderId="7" xfId="0" applyNumberFormat="1" applyFont="1" applyFill="1" applyBorder="1" applyAlignment="1">
      <alignment horizontal="center" vertical="center" wrapText="1"/>
    </xf>
    <xf numFmtId="168" fontId="9" fillId="47" borderId="8" xfId="0" applyNumberFormat="1" applyFont="1" applyFill="1" applyBorder="1" applyAlignment="1">
      <alignment horizontal="center" vertical="center" wrapText="1"/>
    </xf>
    <xf numFmtId="0" fontId="9" fillId="47" borderId="7" xfId="0" applyFont="1" applyFill="1" applyBorder="1" applyAlignment="1">
      <alignment horizontal="center" vertical="center"/>
    </xf>
    <xf numFmtId="0" fontId="9" fillId="47" borderId="8" xfId="0" applyFont="1" applyFill="1" applyBorder="1" applyAlignment="1">
      <alignment horizontal="center" vertical="center"/>
    </xf>
    <xf numFmtId="168" fontId="9" fillId="47" borderId="27" xfId="0" applyNumberFormat="1" applyFont="1" applyFill="1" applyBorder="1" applyAlignment="1">
      <alignment horizontal="center" vertical="center"/>
    </xf>
    <xf numFmtId="168" fontId="9" fillId="47" borderId="8" xfId="0" applyNumberFormat="1" applyFont="1" applyFill="1" applyBorder="1" applyAlignment="1">
      <alignment horizontal="center" vertical="center"/>
    </xf>
    <xf numFmtId="0" fontId="9" fillId="47" borderId="27" xfId="0" applyFont="1" applyFill="1" applyBorder="1" applyAlignment="1">
      <alignment horizontal="center" vertical="center"/>
    </xf>
    <xf numFmtId="0" fontId="11" fillId="52" borderId="87" xfId="0" applyFont="1" applyFill="1" applyBorder="1" applyAlignment="1">
      <alignment horizontal="center"/>
    </xf>
    <xf numFmtId="0" fontId="11" fillId="52" borderId="88" xfId="0" applyFont="1" applyFill="1" applyBorder="1" applyAlignment="1">
      <alignment horizontal="center"/>
    </xf>
    <xf numFmtId="0" fontId="11" fillId="52" borderId="89" xfId="0" applyFont="1" applyFill="1" applyBorder="1" applyAlignment="1">
      <alignment horizontal="center"/>
    </xf>
    <xf numFmtId="0" fontId="11" fillId="53" borderId="65" xfId="0" applyFont="1" applyFill="1" applyBorder="1" applyAlignment="1">
      <alignment horizontal="center"/>
    </xf>
    <xf numFmtId="0" fontId="11" fillId="53" borderId="15" xfId="0" applyFont="1" applyFill="1" applyBorder="1" applyAlignment="1">
      <alignment horizontal="center"/>
    </xf>
    <xf numFmtId="0" fontId="11" fillId="54" borderId="87" xfId="0" applyFont="1" applyFill="1" applyBorder="1" applyAlignment="1">
      <alignment horizontal="center"/>
    </xf>
    <xf numFmtId="0" fontId="11" fillId="54" borderId="88" xfId="0" applyFont="1" applyFill="1" applyBorder="1" applyAlignment="1">
      <alignment horizontal="center"/>
    </xf>
    <xf numFmtId="0" fontId="11" fillId="54" borderId="89" xfId="0" applyFont="1" applyFill="1" applyBorder="1" applyAlignment="1">
      <alignment horizontal="center"/>
    </xf>
    <xf numFmtId="0" fontId="11" fillId="16" borderId="87" xfId="0" applyFont="1" applyFill="1" applyBorder="1" applyAlignment="1">
      <alignment horizontal="center"/>
    </xf>
    <xf numFmtId="0" fontId="11" fillId="16" borderId="88" xfId="0" applyFont="1" applyFill="1" applyBorder="1" applyAlignment="1">
      <alignment horizontal="center"/>
    </xf>
    <xf numFmtId="0" fontId="11" fillId="16" borderId="89" xfId="0" applyFont="1" applyFill="1" applyBorder="1" applyAlignment="1">
      <alignment horizontal="center"/>
    </xf>
    <xf numFmtId="0" fontId="11" fillId="19" borderId="87" xfId="0" applyFont="1" applyFill="1" applyBorder="1" applyAlignment="1">
      <alignment horizontal="center"/>
    </xf>
    <xf numFmtId="0" fontId="11" fillId="19" borderId="88" xfId="0" applyFont="1" applyFill="1" applyBorder="1" applyAlignment="1">
      <alignment horizontal="center"/>
    </xf>
    <xf numFmtId="0" fontId="11" fillId="19" borderId="89" xfId="0" applyFont="1" applyFill="1" applyBorder="1" applyAlignment="1">
      <alignment horizontal="center"/>
    </xf>
    <xf numFmtId="0" fontId="11" fillId="55" borderId="31" xfId="0" applyFont="1" applyFill="1" applyBorder="1" applyAlignment="1">
      <alignment horizontal="center"/>
    </xf>
    <xf numFmtId="0" fontId="11" fillId="55" borderId="15" xfId="0" applyFont="1" applyFill="1" applyBorder="1" applyAlignment="1">
      <alignment horizontal="center"/>
    </xf>
    <xf numFmtId="0" fontId="66" fillId="29" borderId="75" xfId="0" applyFont="1" applyFill="1" applyBorder="1" applyAlignment="1">
      <alignment horizontal="center"/>
    </xf>
    <xf numFmtId="0" fontId="66" fillId="29" borderId="0" xfId="0" applyFont="1" applyFill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67" fontId="18" fillId="9" borderId="52" xfId="0" applyNumberFormat="1" applyFont="1" applyFill="1" applyBorder="1" applyAlignment="1">
      <alignment horizontal="center" vertical="center" wrapText="1"/>
    </xf>
    <xf numFmtId="167" fontId="19" fillId="9" borderId="54" xfId="0" applyNumberFormat="1" applyFont="1" applyFill="1" applyBorder="1" applyAlignment="1">
      <alignment horizontal="center" vertical="center" wrapText="1"/>
    </xf>
    <xf numFmtId="0" fontId="64" fillId="15" borderId="87" xfId="0" applyFont="1" applyFill="1" applyBorder="1" applyAlignment="1">
      <alignment horizontal="center" vertical="center"/>
    </xf>
    <xf numFmtId="0" fontId="64" fillId="15" borderId="88" xfId="0" applyFont="1" applyFill="1" applyBorder="1" applyAlignment="1">
      <alignment horizontal="center" vertical="center"/>
    </xf>
    <xf numFmtId="0" fontId="64" fillId="15" borderId="89" xfId="0" applyFont="1" applyFill="1" applyBorder="1" applyAlignment="1">
      <alignment horizontal="center" vertical="center"/>
    </xf>
    <xf numFmtId="0" fontId="64" fillId="25" borderId="87" xfId="0" applyFont="1" applyFill="1" applyBorder="1" applyAlignment="1">
      <alignment horizontal="center" vertical="center"/>
    </xf>
    <xf numFmtId="0" fontId="64" fillId="25" borderId="88" xfId="0" applyFont="1" applyFill="1" applyBorder="1" applyAlignment="1">
      <alignment horizontal="center" vertical="center"/>
    </xf>
    <xf numFmtId="0" fontId="64" fillId="25" borderId="89" xfId="0" applyFont="1" applyFill="1" applyBorder="1" applyAlignment="1">
      <alignment horizontal="center" vertical="center"/>
    </xf>
    <xf numFmtId="0" fontId="64" fillId="57" borderId="87" xfId="0" applyFont="1" applyFill="1" applyBorder="1" applyAlignment="1">
      <alignment horizontal="center" vertical="center"/>
    </xf>
    <xf numFmtId="0" fontId="64" fillId="57" borderId="88" xfId="0" applyFont="1" applyFill="1" applyBorder="1" applyAlignment="1">
      <alignment horizontal="center" vertical="center"/>
    </xf>
    <xf numFmtId="0" fontId="64" fillId="57" borderId="89" xfId="0" applyFont="1" applyFill="1" applyBorder="1" applyAlignment="1">
      <alignment horizontal="center" vertical="center"/>
    </xf>
    <xf numFmtId="0" fontId="64" fillId="58" borderId="87" xfId="0" applyFont="1" applyFill="1" applyBorder="1" applyAlignment="1">
      <alignment horizontal="center" vertical="center"/>
    </xf>
    <xf numFmtId="0" fontId="64" fillId="58" borderId="88" xfId="0" applyFont="1" applyFill="1" applyBorder="1" applyAlignment="1">
      <alignment horizontal="center" vertical="center"/>
    </xf>
    <xf numFmtId="0" fontId="64" fillId="58" borderId="89" xfId="0" applyFont="1" applyFill="1" applyBorder="1" applyAlignment="1">
      <alignment horizontal="center" vertical="center"/>
    </xf>
    <xf numFmtId="0" fontId="64" fillId="59" borderId="87" xfId="0" applyFont="1" applyFill="1" applyBorder="1" applyAlignment="1">
      <alignment horizontal="center" vertical="center"/>
    </xf>
    <xf numFmtId="0" fontId="64" fillId="59" borderId="88" xfId="0" applyFont="1" applyFill="1" applyBorder="1" applyAlignment="1">
      <alignment horizontal="center" vertical="center"/>
    </xf>
    <xf numFmtId="0" fontId="64" fillId="59" borderId="89" xfId="0" applyFont="1" applyFill="1" applyBorder="1" applyAlignment="1">
      <alignment horizontal="center" vertical="center"/>
    </xf>
    <xf numFmtId="0" fontId="64" fillId="60" borderId="87" xfId="0" applyFont="1" applyFill="1" applyBorder="1" applyAlignment="1">
      <alignment horizontal="center" vertical="center"/>
    </xf>
    <xf numFmtId="0" fontId="64" fillId="60" borderId="88" xfId="0" applyFont="1" applyFill="1" applyBorder="1" applyAlignment="1">
      <alignment horizontal="center" vertical="center"/>
    </xf>
    <xf numFmtId="0" fontId="64" fillId="60" borderId="89" xfId="0" applyFont="1" applyFill="1" applyBorder="1" applyAlignment="1">
      <alignment horizontal="center" vertical="center"/>
    </xf>
    <xf numFmtId="0" fontId="64" fillId="48" borderId="3" xfId="0" applyFont="1" applyFill="1" applyBorder="1" applyAlignment="1">
      <alignment horizontal="center" vertical="center"/>
    </xf>
    <xf numFmtId="0" fontId="64" fillId="48" borderId="4" xfId="0" applyFont="1" applyFill="1" applyBorder="1" applyAlignment="1">
      <alignment horizontal="center" vertical="center"/>
    </xf>
    <xf numFmtId="0" fontId="64" fillId="48" borderId="5" xfId="0" applyFont="1" applyFill="1" applyBorder="1" applyAlignment="1">
      <alignment horizontal="center" vertical="center"/>
    </xf>
    <xf numFmtId="0" fontId="64" fillId="22" borderId="3" xfId="0" applyFont="1" applyFill="1" applyBorder="1" applyAlignment="1">
      <alignment horizontal="center" vertical="center"/>
    </xf>
    <xf numFmtId="0" fontId="64" fillId="22" borderId="4" xfId="0" applyFont="1" applyFill="1" applyBorder="1" applyAlignment="1">
      <alignment horizontal="center" vertical="center"/>
    </xf>
    <xf numFmtId="0" fontId="64" fillId="22" borderId="5" xfId="0" applyFont="1" applyFill="1" applyBorder="1" applyAlignment="1">
      <alignment horizontal="center" vertical="center"/>
    </xf>
    <xf numFmtId="0" fontId="64" fillId="65" borderId="3" xfId="0" applyFont="1" applyFill="1" applyBorder="1" applyAlignment="1">
      <alignment horizontal="center" vertical="center"/>
    </xf>
    <xf numFmtId="0" fontId="64" fillId="65" borderId="4" xfId="0" applyFont="1" applyFill="1" applyBorder="1" applyAlignment="1">
      <alignment horizontal="center" vertical="center"/>
    </xf>
    <xf numFmtId="0" fontId="64" fillId="65" borderId="5" xfId="0" applyFont="1" applyFill="1" applyBorder="1" applyAlignment="1">
      <alignment horizontal="center" vertical="center"/>
    </xf>
    <xf numFmtId="0" fontId="59" fillId="48" borderId="7" xfId="0" applyFont="1" applyFill="1" applyBorder="1" applyAlignment="1">
      <alignment horizontal="right" vertical="center" textRotation="90"/>
    </xf>
    <xf numFmtId="0" fontId="59" fillId="48" borderId="6" xfId="0" applyFont="1" applyFill="1" applyBorder="1" applyAlignment="1">
      <alignment horizontal="right" vertical="center" textRotation="90"/>
    </xf>
    <xf numFmtId="0" fontId="56" fillId="22" borderId="7" xfId="0" applyFont="1" applyFill="1" applyBorder="1" applyAlignment="1">
      <alignment horizontal="left" vertical="center" textRotation="90" wrapText="1"/>
    </xf>
    <xf numFmtId="0" fontId="56" fillId="22" borderId="6" xfId="0" applyFont="1" applyFill="1" applyBorder="1" applyAlignment="1">
      <alignment horizontal="left" vertical="center" textRotation="90" wrapText="1"/>
    </xf>
    <xf numFmtId="0" fontId="59" fillId="65" borderId="7" xfId="0" applyFont="1" applyFill="1" applyBorder="1" applyAlignment="1">
      <alignment horizontal="right" vertical="center" textRotation="90"/>
    </xf>
    <xf numFmtId="0" fontId="59" fillId="65" borderId="6" xfId="0" applyFont="1" applyFill="1" applyBorder="1" applyAlignment="1">
      <alignment horizontal="right" vertical="center" textRotation="90"/>
    </xf>
    <xf numFmtId="0" fontId="72" fillId="65" borderId="7" xfId="0" applyFont="1" applyFill="1" applyBorder="1" applyAlignment="1">
      <alignment horizontal="right" vertical="center" textRotation="90"/>
    </xf>
    <xf numFmtId="0" fontId="72" fillId="65" borderId="6" xfId="0" applyFont="1" applyFill="1" applyBorder="1" applyAlignment="1">
      <alignment horizontal="right" vertical="center" textRotation="90"/>
    </xf>
    <xf numFmtId="0" fontId="64" fillId="65" borderId="6" xfId="0" applyFont="1" applyFill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 wrapText="1"/>
    </xf>
    <xf numFmtId="0" fontId="77" fillId="9" borderId="52" xfId="0" applyFont="1" applyFill="1" applyBorder="1" applyAlignment="1">
      <alignment horizontal="center" vertical="center" wrapText="1"/>
    </xf>
    <xf numFmtId="0" fontId="78" fillId="9" borderId="54" xfId="0" applyFont="1" applyFill="1" applyBorder="1" applyAlignment="1">
      <alignment horizontal="center" vertical="center" wrapText="1"/>
    </xf>
    <xf numFmtId="0" fontId="8" fillId="68" borderId="46" xfId="0" applyFont="1" applyFill="1" applyBorder="1" applyAlignment="1">
      <alignment horizontal="center"/>
    </xf>
    <xf numFmtId="0" fontId="8" fillId="68" borderId="65" xfId="0" applyFont="1" applyFill="1" applyBorder="1" applyAlignment="1">
      <alignment horizontal="center"/>
    </xf>
    <xf numFmtId="0" fontId="8" fillId="67" borderId="31" xfId="0" applyFont="1" applyFill="1" applyBorder="1" applyAlignment="1">
      <alignment horizontal="center"/>
    </xf>
    <xf numFmtId="0" fontId="8" fillId="67" borderId="15" xfId="0" applyFont="1" applyFill="1" applyBorder="1" applyAlignment="1">
      <alignment horizontal="center"/>
    </xf>
    <xf numFmtId="0" fontId="8" fillId="48" borderId="65" xfId="0" applyFont="1" applyFill="1" applyBorder="1" applyAlignment="1">
      <alignment horizontal="center"/>
    </xf>
    <xf numFmtId="0" fontId="64" fillId="20" borderId="31" xfId="0" applyFont="1" applyFill="1" applyBorder="1" applyAlignment="1">
      <alignment horizontal="center"/>
    </xf>
    <xf numFmtId="0" fontId="64" fillId="20" borderId="65" xfId="0" applyFont="1" applyFill="1" applyBorder="1" applyAlignment="1">
      <alignment horizontal="center"/>
    </xf>
    <xf numFmtId="0" fontId="64" fillId="20" borderId="15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79" fillId="21" borderId="3" xfId="0" applyFont="1" applyFill="1" applyBorder="1" applyAlignment="1">
      <alignment horizontal="center" vertical="center" wrapText="1"/>
    </xf>
    <xf numFmtId="0" fontId="79" fillId="21" borderId="4" xfId="0" applyFont="1" applyFill="1" applyBorder="1" applyAlignment="1">
      <alignment horizontal="center" vertical="center" wrapText="1"/>
    </xf>
    <xf numFmtId="0" fontId="79" fillId="21" borderId="5" xfId="0" applyFont="1" applyFill="1" applyBorder="1" applyAlignment="1">
      <alignment horizontal="center" vertical="center" wrapText="1"/>
    </xf>
    <xf numFmtId="0" fontId="79" fillId="48" borderId="3" xfId="0" applyFont="1" applyFill="1" applyBorder="1" applyAlignment="1">
      <alignment horizontal="center" vertical="center" wrapText="1"/>
    </xf>
    <xf numFmtId="0" fontId="79" fillId="48" borderId="4" xfId="0" applyFont="1" applyFill="1" applyBorder="1" applyAlignment="1">
      <alignment horizontal="center" vertical="center" wrapText="1"/>
    </xf>
    <xf numFmtId="0" fontId="79" fillId="48" borderId="5" xfId="0" applyFont="1" applyFill="1" applyBorder="1" applyAlignment="1">
      <alignment horizontal="center" vertical="center" wrapText="1"/>
    </xf>
    <xf numFmtId="0" fontId="79" fillId="8" borderId="3" xfId="0" applyFont="1" applyFill="1" applyBorder="1" applyAlignment="1">
      <alignment horizontal="center" vertical="center" wrapText="1"/>
    </xf>
    <xf numFmtId="0" fontId="79" fillId="8" borderId="4" xfId="0" applyFont="1" applyFill="1" applyBorder="1" applyAlignment="1">
      <alignment horizontal="center" vertical="center" wrapText="1"/>
    </xf>
    <xf numFmtId="0" fontId="79" fillId="8" borderId="5" xfId="0" applyFont="1" applyFill="1" applyBorder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0" fontId="77" fillId="9" borderId="54" xfId="0" applyFont="1" applyFill="1" applyBorder="1" applyAlignment="1">
      <alignment horizontal="center" vertical="center" wrapText="1"/>
    </xf>
    <xf numFmtId="0" fontId="64" fillId="9" borderId="46" xfId="0" applyFont="1" applyFill="1" applyBorder="1" applyAlignment="1">
      <alignment horizontal="center" vertical="center"/>
    </xf>
    <xf numFmtId="0" fontId="64" fillId="9" borderId="65" xfId="0" applyFont="1" applyFill="1" applyBorder="1" applyAlignment="1">
      <alignment horizontal="center"/>
    </xf>
    <xf numFmtId="0" fontId="8" fillId="20" borderId="31" xfId="0" applyFont="1" applyFill="1" applyBorder="1" applyAlignment="1">
      <alignment horizontal="center"/>
    </xf>
    <xf numFmtId="0" fontId="8" fillId="20" borderId="65" xfId="0" applyFont="1" applyFill="1" applyBorder="1" applyAlignment="1">
      <alignment horizontal="center"/>
    </xf>
    <xf numFmtId="0" fontId="8" fillId="20" borderId="15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 wrapText="1"/>
    </xf>
    <xf numFmtId="0" fontId="8" fillId="9" borderId="5" xfId="0" applyFont="1" applyFill="1" applyBorder="1" applyAlignment="1">
      <alignment horizontal="center" wrapText="1"/>
    </xf>
    <xf numFmtId="0" fontId="19" fillId="9" borderId="80" xfId="0" applyFont="1" applyFill="1" applyBorder="1" applyAlignment="1">
      <alignment horizontal="center" vertical="center" wrapText="1"/>
    </xf>
    <xf numFmtId="0" fontId="11" fillId="9" borderId="66" xfId="0" applyFont="1" applyFill="1" applyBorder="1" applyAlignment="1">
      <alignment horizontal="center"/>
    </xf>
    <xf numFmtId="0" fontId="77" fillId="9" borderId="53" xfId="0" applyFont="1" applyFill="1" applyBorder="1" applyAlignment="1">
      <alignment horizontal="center" vertical="center" wrapText="1"/>
    </xf>
    <xf numFmtId="0" fontId="64" fillId="0" borderId="46" xfId="0" applyFont="1" applyBorder="1" applyAlignment="1">
      <alignment horizontal="center"/>
    </xf>
    <xf numFmtId="0" fontId="64" fillId="0" borderId="65" xfId="0" applyFont="1" applyBorder="1" applyAlignment="1">
      <alignment horizontal="center"/>
    </xf>
    <xf numFmtId="0" fontId="64" fillId="0" borderId="66" xfId="0" applyFont="1" applyBorder="1" applyAlignment="1">
      <alignment horizontal="center"/>
    </xf>
    <xf numFmtId="0" fontId="64" fillId="9" borderId="66" xfId="0" applyFont="1" applyFill="1" applyBorder="1" applyAlignment="1">
      <alignment horizontal="center"/>
    </xf>
    <xf numFmtId="0" fontId="64" fillId="9" borderId="15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/>
    </xf>
    <xf numFmtId="0" fontId="46" fillId="0" borderId="0" xfId="0" applyFont="1" applyAlignment="1">
      <alignment horizontal="center" vertical="center"/>
    </xf>
    <xf numFmtId="0" fontId="46" fillId="0" borderId="62" xfId="0" applyFont="1" applyBorder="1" applyAlignment="1">
      <alignment horizontal="center" vertical="center"/>
    </xf>
    <xf numFmtId="0" fontId="27" fillId="18" borderId="65" xfId="0" applyFont="1" applyFill="1" applyBorder="1" applyAlignment="1">
      <alignment horizontal="center" vertical="center"/>
    </xf>
    <xf numFmtId="0" fontId="27" fillId="18" borderId="66" xfId="0" applyFont="1" applyFill="1" applyBorder="1" applyAlignment="1">
      <alignment horizontal="center" vertical="center"/>
    </xf>
    <xf numFmtId="0" fontId="27" fillId="20" borderId="65" xfId="0" applyFont="1" applyFill="1" applyBorder="1" applyAlignment="1">
      <alignment horizontal="center" vertical="center"/>
    </xf>
    <xf numFmtId="0" fontId="27" fillId="20" borderId="15" xfId="0" applyFont="1" applyFill="1" applyBorder="1" applyAlignment="1">
      <alignment horizontal="center" vertical="center"/>
    </xf>
    <xf numFmtId="0" fontId="33" fillId="9" borderId="31" xfId="0" applyFont="1" applyFill="1" applyBorder="1" applyAlignment="1">
      <alignment horizontal="center"/>
    </xf>
    <xf numFmtId="0" fontId="33" fillId="9" borderId="66" xfId="0" applyFont="1" applyFill="1" applyBorder="1" applyAlignment="1">
      <alignment horizontal="center"/>
    </xf>
    <xf numFmtId="0" fontId="9" fillId="0" borderId="5" xfId="0" applyFont="1" applyBorder="1" applyAlignment="1">
      <alignment vertical="center" wrapText="1"/>
    </xf>
    <xf numFmtId="0" fontId="9" fillId="0" borderId="25" xfId="0" applyFont="1" applyBorder="1" applyAlignment="1">
      <alignment horizontal="center" vertical="center"/>
    </xf>
  </cellXfs>
  <cellStyles count="6">
    <cellStyle name="Ввод " xfId="5" builtinId="20"/>
    <cellStyle name="Нейтральный" xfId="1" builtinId="28"/>
    <cellStyle name="Обычный" xfId="0" builtinId="0"/>
    <cellStyle name="Плохой" xfId="2" builtinId="27"/>
    <cellStyle name="Примечание" xfId="3" builtinId="10"/>
    <cellStyle name="Хороший" xfId="4" builtinId="26"/>
  </cellStyles>
  <dxfs count="9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DDEBF6"/>
          <bgColor rgb="FFDDEBF6"/>
        </patternFill>
      </fill>
    </dxf>
    <dxf>
      <font>
        <color rgb="FF9C0006"/>
      </font>
      <fill>
        <patternFill patternType="solid">
          <fgColor rgb="FFDDEBF6"/>
          <bgColor rgb="FFDDEBF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DDEBF6"/>
          <bgColor rgb="FFDDEBF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rgb="FFFFEB9C"/>
          <bgColor rgb="FFFFEB9C"/>
        </patternFill>
      </fill>
    </dxf>
    <dxf>
      <font>
        <color theme="1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EF2CB"/>
          <bgColor rgb="FFFEF2CB"/>
        </patternFill>
      </fill>
    </dxf>
    <dxf>
      <font>
        <color rgb="FF9C0006"/>
      </font>
      <fill>
        <patternFill patternType="solid">
          <fgColor rgb="FFDDEBF6"/>
          <bgColor rgb="FFDDEBF6"/>
        </patternFill>
      </fill>
    </dxf>
    <dxf>
      <font>
        <color rgb="FF9C0006"/>
      </font>
      <fill>
        <patternFill patternType="solid">
          <fgColor rgb="FFDDEBF6"/>
          <bgColor rgb="FFDDEBF6"/>
        </patternFill>
      </fill>
    </dxf>
    <dxf>
      <font>
        <color rgb="FF9C0006"/>
      </font>
      <fill>
        <patternFill patternType="solid">
          <fgColor rgb="FFFEF2CB"/>
          <bgColor rgb="FFFEF2C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EE597"/>
          <bgColor rgb="FFFEE597"/>
        </patternFill>
      </fill>
    </dxf>
    <dxf>
      <font>
        <color rgb="FF9C0006"/>
      </font>
      <fill>
        <patternFill patternType="solid">
          <fgColor rgb="FFDDEBF6"/>
          <bgColor rgb="FFDDEBF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C00000"/>
      </font>
      <fill>
        <patternFill patternType="solid">
          <fgColor rgb="FFF7CAAC"/>
          <bgColor rgb="FFF7CAAC"/>
        </patternFill>
      </fill>
    </dxf>
    <dxf>
      <font>
        <color rgb="FFC00000"/>
      </font>
      <fill>
        <patternFill patternType="solid">
          <fgColor rgb="FFF7CAAC"/>
          <bgColor rgb="FFF7CAA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  <fill>
        <patternFill patternType="solid">
          <fgColor rgb="FFF7CAAC"/>
          <bgColor rgb="FFF7CAA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  <fill>
        <patternFill patternType="solid">
          <fgColor rgb="FFF7CAAC"/>
          <bgColor rgb="FFF7CAA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  <fill>
        <patternFill patternType="solid">
          <fgColor rgb="FFF7CAAC"/>
          <bgColor rgb="FFF7CAA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Даниил Коваленко" id="{5F49D1E1-26E4-3E52-C2D7-01C24EEF97DD}" userId="1923115166" providerId="Teamlab"/>
  <person displayName="Юрий Штанов" id="{5D992659-A903-5F23-77D8-DBF04DC8BBAA}" userId="345124917" providerId="Teamlab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3" dT="2025-12-05T06:19:07.27Z" personId="{5F49D1E1-26E4-3E52-C2D7-01C24EEF97DD}" id="{AD473290-AEF8-9142-D14B-68EFCBE37A1D}" done="0">
    <text xml:space="preserve">спал на паре, игнорировал замечания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28" dT="2025-12-01T06:42:06.62Z" personId="{5D992659-A903-5F23-77D8-DBF04DC8BBAA}" id="{A96BAFA9-ADCD-437C-4201-42ED9BE4FE49}" done="0">
    <text xml:space="preserve">спал на паре
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L739"/>
  <sheetViews>
    <sheetView tabSelected="1" topLeftCell="A10" workbookViewId="0">
      <selection activeCell="E33" sqref="E33"/>
    </sheetView>
  </sheetViews>
  <sheetFormatPr defaultColWidth="10" defaultRowHeight="15"/>
  <cols>
    <col min="1" max="1" width="5.44140625" customWidth="1"/>
    <col min="2" max="2" width="24.5546875" customWidth="1"/>
    <col min="3" max="3" width="6.109375" customWidth="1"/>
    <col min="4" max="4" width="10.44140625" customWidth="1"/>
    <col min="5" max="6" width="12.109375" customWidth="1"/>
  </cols>
  <sheetData>
    <row r="1" spans="1:12" ht="15.75">
      <c r="A1" s="1"/>
      <c r="B1" s="1"/>
      <c r="C1" s="1"/>
      <c r="D1" s="1"/>
      <c r="E1" s="1"/>
      <c r="F1" s="1"/>
    </row>
    <row r="2" spans="1:12" ht="15.75">
      <c r="A2" s="1260" t="str">
        <f>Ин.яз!B5</f>
        <v>Адилбеков Бектур</v>
      </c>
      <c r="B2" s="1261"/>
      <c r="C2" s="1261"/>
      <c r="D2" s="1261"/>
      <c r="E2" s="1261"/>
      <c r="F2" s="1262"/>
    </row>
    <row r="3" spans="1:12">
      <c r="A3" s="1263">
        <f ca="1">TODAY()</f>
        <v>46120</v>
      </c>
      <c r="B3" s="1264"/>
      <c r="C3" s="1264"/>
      <c r="D3" s="1265"/>
      <c r="E3" s="1266" t="s">
        <v>0</v>
      </c>
      <c r="F3" s="1267"/>
    </row>
    <row r="4" spans="1:12" ht="28.5">
      <c r="A4" s="2" t="s">
        <v>1</v>
      </c>
      <c r="B4" s="2" t="s">
        <v>2</v>
      </c>
      <c r="C4" s="3" t="s">
        <v>3</v>
      </c>
      <c r="D4" s="4" t="s">
        <v>4</v>
      </c>
      <c r="E4" s="4" t="s">
        <v>5</v>
      </c>
      <c r="F4" s="4" t="s">
        <v>6</v>
      </c>
    </row>
    <row r="5" spans="1:12" s="5" customFormat="1" ht="30">
      <c r="A5" s="6">
        <v>1</v>
      </c>
      <c r="B5" s="7" t="s">
        <v>7</v>
      </c>
      <c r="C5" s="1268"/>
      <c r="D5" s="8">
        <f>Ин.яз!AN5</f>
        <v>3.6</v>
      </c>
      <c r="E5" s="6">
        <f>Ин.яз!AO5</f>
        <v>1</v>
      </c>
      <c r="F5" s="6">
        <f>Ин.яз!AP5</f>
        <v>13</v>
      </c>
    </row>
    <row r="6" spans="1:12" s="5" customFormat="1">
      <c r="A6" s="6">
        <v>2</v>
      </c>
      <c r="B6" s="9" t="s">
        <v>8</v>
      </c>
      <c r="C6" s="1269"/>
      <c r="D6" s="8">
        <f>Физ.ра!BL5</f>
        <v>4.4000000000000004</v>
      </c>
      <c r="E6" s="6">
        <f>Физ.ра!BM5</f>
        <v>0</v>
      </c>
      <c r="F6" s="6">
        <f>Физ.ра!BN5</f>
        <v>6</v>
      </c>
    </row>
    <row r="7" spans="1:12" s="5" customFormat="1">
      <c r="A7" s="6">
        <v>3</v>
      </c>
      <c r="B7" s="9" t="s">
        <v>9</v>
      </c>
      <c r="C7" s="6" t="str">
        <f>CONCATENATE(История!AC5)</f>
        <v>3</v>
      </c>
      <c r="D7" s="8">
        <f>История!AD5</f>
        <v>3.8333333333333335</v>
      </c>
      <c r="E7" s="6">
        <f>История!AE5</f>
        <v>0</v>
      </c>
      <c r="F7" s="6">
        <f>История!AF5</f>
        <v>0</v>
      </c>
    </row>
    <row r="8" spans="1:12" s="5" customFormat="1" ht="30">
      <c r="A8" s="6">
        <v>4</v>
      </c>
      <c r="B8" s="9" t="s">
        <v>10</v>
      </c>
      <c r="C8" s="6" t="str">
        <f>CONCATENATE(ПиРИП!AP5)</f>
        <v/>
      </c>
      <c r="D8" s="8">
        <f>ПиРИП!AQ5</f>
        <v>2.8888888888888888</v>
      </c>
      <c r="E8" s="6">
        <f>ПиРИП!AR5</f>
        <v>0</v>
      </c>
      <c r="F8" s="6">
        <f>ПиРИП!AS5</f>
        <v>10</v>
      </c>
    </row>
    <row r="9" spans="1:12" s="5" customFormat="1">
      <c r="A9" s="6">
        <v>5</v>
      </c>
      <c r="B9" s="9" t="s">
        <v>11</v>
      </c>
      <c r="C9" s="6" t="str">
        <f>CONCATENATE('Элемент выш мат'!BQ5)</f>
        <v/>
      </c>
      <c r="D9" s="8">
        <f>'Элемент выш мат'!BR5</f>
        <v>3.3333333333333335</v>
      </c>
      <c r="E9" s="6">
        <f>'Элемент выш мат'!BS5</f>
        <v>1</v>
      </c>
      <c r="F9" s="6">
        <f>'Элемент выш мат'!BT5</f>
        <v>10</v>
      </c>
    </row>
    <row r="10" spans="1:12" s="5" customFormat="1" ht="30">
      <c r="A10" s="6">
        <v>6</v>
      </c>
      <c r="B10" s="9" t="s">
        <v>12</v>
      </c>
      <c r="C10" s="6" t="str">
        <f>CONCATENATE('арх.ап.средств'!AP5)</f>
        <v/>
      </c>
      <c r="D10" s="8">
        <f>'арх.ап.средств'!AQ5</f>
        <v>5</v>
      </c>
      <c r="E10" s="6">
        <f>'арх.ап.средств'!AR5</f>
        <v>0</v>
      </c>
      <c r="F10" s="6">
        <f>'арх.ап.средств'!AS5</f>
        <v>11</v>
      </c>
    </row>
    <row r="11" spans="1:12" s="5" customFormat="1">
      <c r="A11" s="6">
        <v>7</v>
      </c>
      <c r="B11" s="9" t="s">
        <v>13</v>
      </c>
      <c r="C11" s="6" t="str">
        <f>CONCATENATE('Опер.систем-среды'!AV5)</f>
        <v/>
      </c>
      <c r="D11" s="8">
        <f>'Опер.систем-среды'!AW5</f>
        <v>2</v>
      </c>
      <c r="E11" s="6">
        <f>'Опер.систем-среды'!AX5</f>
        <v>0</v>
      </c>
      <c r="F11" s="6">
        <f>'Опер.систем-среды'!AY5</f>
        <v>11</v>
      </c>
    </row>
    <row r="12" spans="1:12" s="5" customFormat="1" ht="30">
      <c r="A12" s="6">
        <v>8</v>
      </c>
      <c r="B12" s="9" t="s">
        <v>14</v>
      </c>
      <c r="C12" s="6" t="str">
        <f>CONCATENATE('Основы алгоритмизации'!CC5)</f>
        <v/>
      </c>
      <c r="D12" s="8">
        <f>'Основы алгоритмизации'!CD5</f>
        <v>2.5</v>
      </c>
      <c r="E12" s="6">
        <f>'Основы алгоритмизации'!CE5</f>
        <v>0</v>
      </c>
      <c r="F12" s="6">
        <f>'Основы алгоритмизации'!CF5</f>
        <v>11</v>
      </c>
      <c r="L12" s="5" t="s">
        <v>15</v>
      </c>
    </row>
    <row r="13" spans="1:12" s="5" customFormat="1" ht="30">
      <c r="A13" s="6">
        <v>9</v>
      </c>
      <c r="B13" s="9" t="s">
        <v>16</v>
      </c>
      <c r="C13" s="6" t="str">
        <f>CONCATENATE('Осн.пр.Базы данных'!BB5)</f>
        <v/>
      </c>
      <c r="D13" s="8">
        <f>'Осн.пр.Базы данных'!BC5</f>
        <v>2.3333333333333335</v>
      </c>
      <c r="E13" s="6">
        <f>'Осн.пр.Базы данных'!BD5</f>
        <v>0</v>
      </c>
      <c r="F13" s="6">
        <f>'Осн.пр.Базы данных'!BE5</f>
        <v>14</v>
      </c>
    </row>
    <row r="14" spans="1:12" s="5" customFormat="1">
      <c r="A14" s="6">
        <v>10</v>
      </c>
      <c r="B14" s="9" t="s">
        <v>17</v>
      </c>
      <c r="C14" s="6" t="str">
        <f>CONCATENATE('Числ метод'!AI5)</f>
        <v>2</v>
      </c>
      <c r="D14" s="8">
        <f>'Числ метод'!AJ5</f>
        <v>2.75</v>
      </c>
      <c r="E14" s="6">
        <f>'Числ метод'!AK5</f>
        <v>0</v>
      </c>
      <c r="F14" s="6">
        <f>'Числ метод'!AL5</f>
        <v>2</v>
      </c>
    </row>
    <row r="15" spans="1:12" s="5" customFormat="1">
      <c r="A15" s="6">
        <v>11</v>
      </c>
      <c r="B15" s="9" t="s">
        <v>18</v>
      </c>
      <c r="C15" s="13" t="str">
        <f>CONCATENATE('Комп сеть'!Y5)</f>
        <v>н</v>
      </c>
      <c r="D15" s="12">
        <f>'Комп сеть'!Z5</f>
        <v>3.7857142857142856</v>
      </c>
      <c r="E15" s="13">
        <f>'Комп сеть'!AA5</f>
        <v>0</v>
      </c>
      <c r="F15" s="13">
        <f>'Комп сеть'!AB5</f>
        <v>4</v>
      </c>
    </row>
    <row r="16" spans="1:12" s="5" customFormat="1" ht="30">
      <c r="A16" s="6">
        <v>12</v>
      </c>
      <c r="B16" s="9" t="s">
        <v>19</v>
      </c>
      <c r="C16" s="13" t="str">
        <f>CONCATENATE('Теор.вероят и мат.стат'!BX5)</f>
        <v/>
      </c>
      <c r="D16" s="12">
        <f>'Теор.вероят и мат.стат'!BY5</f>
        <v>2</v>
      </c>
      <c r="E16" s="13">
        <f>'Теор.вероят и мат.стат'!BZ5</f>
        <v>0</v>
      </c>
      <c r="F16" s="13">
        <f>'Теор.вероят и мат.стат'!CA5</f>
        <v>8</v>
      </c>
    </row>
    <row r="17" spans="1:6" s="5" customFormat="1">
      <c r="A17" s="6">
        <v>13</v>
      </c>
      <c r="B17" s="9" t="s">
        <v>20</v>
      </c>
      <c r="C17" s="13" t="str">
        <f>CONCATENATE('Дискрет.мат '!BQ5)</f>
        <v/>
      </c>
      <c r="D17" s="12">
        <f>'Дискрет.мат '!BR5</f>
        <v>2</v>
      </c>
      <c r="E17" s="13">
        <f>'Дискрет.мат '!BS5</f>
        <v>0</v>
      </c>
      <c r="F17" s="13">
        <f>'Дискрет.мат '!BT5</f>
        <v>6</v>
      </c>
    </row>
    <row r="18" spans="1:6" s="5" customFormat="1" ht="30">
      <c r="A18" s="6">
        <v>14</v>
      </c>
      <c r="B18" s="9" t="s">
        <v>21</v>
      </c>
      <c r="C18" s="16" t="str">
        <f>CONCATENATE('Разработка кода ИС'!AO5)</f>
        <v/>
      </c>
      <c r="D18" s="15" t="str">
        <f>'Разработка кода ИС'!AP5</f>
        <v>Нет оценок</v>
      </c>
      <c r="E18" s="16">
        <f>'Разработка кода ИС'!AQ5</f>
        <v>0</v>
      </c>
      <c r="F18" s="16">
        <f>'Разработка кода ИС'!AR5</f>
        <v>6</v>
      </c>
    </row>
    <row r="19" spans="1:6" s="5" customFormat="1" ht="30">
      <c r="A19" s="6">
        <v>15</v>
      </c>
      <c r="B19" s="9" t="s">
        <v>22</v>
      </c>
      <c r="C19" s="1268"/>
      <c r="D19" s="8" t="str">
        <f>'Внедр.подд.комп.систем'!BC5</f>
        <v>Нет оценок</v>
      </c>
      <c r="E19" s="6">
        <f>'Внедр.подд.комп.систем'!BD5</f>
        <v>0</v>
      </c>
      <c r="F19" s="6">
        <f>'Внедр.подд.комп.систем'!BE5</f>
        <v>0</v>
      </c>
    </row>
    <row r="20" spans="1:6" s="5" customFormat="1" ht="45">
      <c r="A20" s="6">
        <v>16</v>
      </c>
      <c r="B20" s="9" t="s">
        <v>23</v>
      </c>
      <c r="C20" s="1270"/>
      <c r="D20" s="8" t="str">
        <f>'Тестирование ИС'!CA5</f>
        <v>Нет оценок</v>
      </c>
      <c r="E20" s="6">
        <f>'Тестирование ИС'!CB5</f>
        <v>0</v>
      </c>
      <c r="F20" s="6">
        <f>'Тестирование ИС'!CC5</f>
        <v>4</v>
      </c>
    </row>
    <row r="21" spans="1:6" s="5" customFormat="1">
      <c r="A21" s="6">
        <v>17</v>
      </c>
      <c r="B21" s="9" t="s">
        <v>24</v>
      </c>
      <c r="C21" s="1270"/>
      <c r="D21" s="8" t="str">
        <f>Псих.общ!BW5</f>
        <v>Нет оценок</v>
      </c>
      <c r="E21" s="6">
        <f>Псих.общ!BX5</f>
        <v>0</v>
      </c>
      <c r="F21" s="6">
        <f>Псих.общ!BY5</f>
        <v>7</v>
      </c>
    </row>
    <row r="22" spans="1:6" s="5" customFormat="1" ht="30">
      <c r="A22" s="17">
        <v>18</v>
      </c>
      <c r="B22" s="18" t="s">
        <v>25</v>
      </c>
      <c r="C22" s="1270"/>
      <c r="D22" s="19" t="str">
        <f>'Тех.разра.БД'!AA5</f>
        <v>Нет оценок</v>
      </c>
      <c r="E22" s="17">
        <f>'Тех.разра.БД'!AB5</f>
        <v>0</v>
      </c>
      <c r="F22" s="17">
        <f>'Тех.разра.БД'!AC5</f>
        <v>0</v>
      </c>
    </row>
    <row r="23" spans="1:6" s="5" customFormat="1">
      <c r="A23" s="17">
        <v>19</v>
      </c>
      <c r="B23" s="18" t="s">
        <v>26</v>
      </c>
      <c r="C23" s="13"/>
      <c r="D23" s="19">
        <f>БЖ!AA5</f>
        <v>3.6666666666666665</v>
      </c>
      <c r="E23" s="17">
        <f>БЖ!AB5</f>
        <v>0</v>
      </c>
      <c r="F23" s="17">
        <f>БЖ!AC5</f>
        <v>0</v>
      </c>
    </row>
    <row r="24" spans="1:6" s="5" customFormat="1" ht="30">
      <c r="A24" s="1469" t="s">
        <v>27</v>
      </c>
      <c r="B24" s="1468" t="s">
        <v>634</v>
      </c>
      <c r="C24" s="13">
        <f>'Граф диз и мульт'!Z6</f>
        <v>0</v>
      </c>
      <c r="D24" s="8">
        <f>'Граф диз и мульт'!AA6</f>
        <v>3.3333333333333335</v>
      </c>
      <c r="E24" s="6">
        <f>'Граф диз и мульт'!AB6</f>
        <v>0</v>
      </c>
      <c r="F24" s="6">
        <f>'Граф диз и мульт'!AC6</f>
        <v>6</v>
      </c>
    </row>
    <row r="25" spans="1:6" s="5" customFormat="1" ht="30">
      <c r="A25" s="1469" t="s">
        <v>86</v>
      </c>
      <c r="B25" s="1468" t="s">
        <v>28</v>
      </c>
      <c r="C25" s="13"/>
      <c r="D25" s="8">
        <f>'Проектирование и дизайн ИС'!AP5</f>
        <v>4</v>
      </c>
      <c r="E25" s="6">
        <f>'Проектирование и дизайн ИС'!AQ5</f>
        <v>0</v>
      </c>
      <c r="F25" s="6">
        <f>'Проектирование и дизайн ИС'!AR5</f>
        <v>15</v>
      </c>
    </row>
    <row r="26" spans="1:6" s="5" customFormat="1">
      <c r="A26" s="21"/>
      <c r="B26" s="21"/>
      <c r="C26" s="21"/>
      <c r="D26" s="22">
        <f>IFERROR(AVERAGE(D5:D25),"")</f>
        <v>3.2140376984126982</v>
      </c>
      <c r="E26" s="23">
        <f>SUM(E5:E25)</f>
        <v>2</v>
      </c>
      <c r="F26" s="23">
        <f>SUM(F5:F25)</f>
        <v>144</v>
      </c>
    </row>
    <row r="27" spans="1:6" ht="15.75">
      <c r="A27" s="21"/>
      <c r="B27" s="21"/>
      <c r="C27" s="21"/>
      <c r="D27" s="24"/>
      <c r="E27" s="1271" t="s">
        <v>29</v>
      </c>
      <c r="F27" s="1272"/>
    </row>
    <row r="28" spans="1:6" ht="15.75">
      <c r="A28" s="21"/>
      <c r="B28" s="21"/>
      <c r="C28" s="21"/>
      <c r="D28" s="24"/>
      <c r="E28" s="1273">
        <f>SUM(E26:F26)</f>
        <v>146</v>
      </c>
      <c r="F28" s="1274"/>
    </row>
    <row r="29" spans="1:6" ht="15.75">
      <c r="A29" s="25"/>
      <c r="B29" s="25"/>
      <c r="C29" s="25"/>
      <c r="D29" s="25"/>
      <c r="E29" s="25"/>
      <c r="F29" s="25"/>
    </row>
    <row r="30" spans="1:6" ht="15.75">
      <c r="A30" s="1260" t="str">
        <f>Ин.яз!B6</f>
        <v>Ахметов Артём Рамилевич</v>
      </c>
      <c r="B30" s="1261"/>
      <c r="C30" s="1261"/>
      <c r="D30" s="1261"/>
      <c r="E30" s="1261"/>
      <c r="F30" s="1262"/>
    </row>
    <row r="31" spans="1:6">
      <c r="A31" s="1263">
        <f ca="1">TODAY()</f>
        <v>46120</v>
      </c>
      <c r="B31" s="1264"/>
      <c r="C31" s="1264"/>
      <c r="D31" s="1265"/>
      <c r="E31" s="1266" t="s">
        <v>0</v>
      </c>
      <c r="F31" s="1267"/>
    </row>
    <row r="32" spans="1:6" ht="28.5">
      <c r="A32" s="2" t="s">
        <v>1</v>
      </c>
      <c r="B32" s="2" t="s">
        <v>2</v>
      </c>
      <c r="C32" s="3" t="s">
        <v>3</v>
      </c>
      <c r="D32" s="4" t="s">
        <v>4</v>
      </c>
      <c r="E32" s="4" t="s">
        <v>5</v>
      </c>
      <c r="F32" s="4" t="s">
        <v>6</v>
      </c>
    </row>
    <row r="33" spans="1:6" ht="30">
      <c r="A33" s="6">
        <v>1</v>
      </c>
      <c r="B33" s="7" t="s">
        <v>7</v>
      </c>
      <c r="C33" s="1268"/>
      <c r="D33" s="8">
        <f>Ин.яз!AN6</f>
        <v>3.7</v>
      </c>
      <c r="E33" s="6">
        <f>Ин.яз!AO6</f>
        <v>0</v>
      </c>
      <c r="F33" s="6">
        <f>Ин.яз!AP6</f>
        <v>7</v>
      </c>
    </row>
    <row r="34" spans="1:6">
      <c r="A34" s="6">
        <v>2</v>
      </c>
      <c r="B34" s="9" t="s">
        <v>8</v>
      </c>
      <c r="C34" s="1269"/>
      <c r="D34" s="8">
        <f>Физ.ра!BL6</f>
        <v>4</v>
      </c>
      <c r="E34" s="6">
        <f>Физ.ра!BM6</f>
        <v>0</v>
      </c>
      <c r="F34" s="6">
        <f>Физ.ра!BN6</f>
        <v>1</v>
      </c>
    </row>
    <row r="35" spans="1:6">
      <c r="A35" s="6">
        <v>3</v>
      </c>
      <c r="B35" s="9" t="s">
        <v>9</v>
      </c>
      <c r="C35" s="10" t="str">
        <f>CONCATENATE(История!AC32)</f>
        <v/>
      </c>
      <c r="D35" s="8">
        <f>История!AD6</f>
        <v>3.6666666666666665</v>
      </c>
      <c r="E35" s="6">
        <f>История!AE32</f>
        <v>0</v>
      </c>
      <c r="F35" s="6">
        <f>История!AF32</f>
        <v>0</v>
      </c>
    </row>
    <row r="36" spans="1:6" ht="30">
      <c r="A36" s="6">
        <v>4</v>
      </c>
      <c r="B36" s="9" t="s">
        <v>10</v>
      </c>
      <c r="C36" s="10" t="str">
        <f>CONCATENATE(ПиРИП!AP33)</f>
        <v/>
      </c>
      <c r="D36" s="8">
        <f>ПиРИП!AQ6</f>
        <v>4.083333333333333</v>
      </c>
      <c r="E36" s="6">
        <f>ПиРИП!AR33</f>
        <v>0</v>
      </c>
      <c r="F36" s="6">
        <f>ПиРИП!AS33</f>
        <v>0</v>
      </c>
    </row>
    <row r="37" spans="1:6">
      <c r="A37" s="6">
        <v>5</v>
      </c>
      <c r="B37" s="9" t="s">
        <v>11</v>
      </c>
      <c r="C37" s="10" t="str">
        <f>CONCATENATE('Элемент выш мат'!BQ32)</f>
        <v/>
      </c>
      <c r="D37" s="8">
        <f>'Элемент выш мат'!BR6</f>
        <v>4.125</v>
      </c>
      <c r="E37" s="6">
        <f>'Элемент выш мат'!BS32</f>
        <v>0</v>
      </c>
      <c r="F37" s="6">
        <f>'Элемент выш мат'!BT32</f>
        <v>0</v>
      </c>
    </row>
    <row r="38" spans="1:6" ht="30">
      <c r="A38" s="6">
        <v>6</v>
      </c>
      <c r="B38" s="9" t="s">
        <v>12</v>
      </c>
      <c r="C38" s="10" t="str">
        <f>CONCATENATE('арх.ап.средств'!AP31)</f>
        <v/>
      </c>
      <c r="D38" s="8">
        <f>'арх.ап.средств'!AQ6</f>
        <v>4.2666666666666666</v>
      </c>
      <c r="E38" s="6">
        <f>'арх.ап.средств'!AR31</f>
        <v>0</v>
      </c>
      <c r="F38" s="6">
        <f>'арх.ап.средств'!AS31</f>
        <v>0</v>
      </c>
    </row>
    <row r="39" spans="1:6">
      <c r="A39" s="6">
        <v>7</v>
      </c>
      <c r="B39" s="9" t="s">
        <v>13</v>
      </c>
      <c r="C39" s="10" t="str">
        <f>CONCATENATE('Опер.систем-среды'!AV32)</f>
        <v/>
      </c>
      <c r="D39" s="8">
        <f>'Опер.систем-среды'!AW6</f>
        <v>3.5</v>
      </c>
      <c r="E39" s="6">
        <f>'Опер.систем-среды'!AX32</f>
        <v>0</v>
      </c>
      <c r="F39" s="6">
        <f>'Опер.систем-среды'!AY32</f>
        <v>0</v>
      </c>
    </row>
    <row r="40" spans="1:6" ht="30">
      <c r="A40" s="6">
        <v>8</v>
      </c>
      <c r="B40" s="9" t="s">
        <v>14</v>
      </c>
      <c r="C40" s="10" t="str">
        <f>CONCATENATE('Основы алгоритмизации'!CC32)</f>
        <v/>
      </c>
      <c r="D40" s="8">
        <f>'Основы алгоритмизации'!CD6</f>
        <v>2.6666666666666665</v>
      </c>
      <c r="E40" s="6">
        <f>'Основы алгоритмизации'!CE32</f>
        <v>0</v>
      </c>
      <c r="F40" s="6">
        <f>'Основы алгоритмизации'!CF32</f>
        <v>0</v>
      </c>
    </row>
    <row r="41" spans="1:6" ht="30">
      <c r="A41" s="6">
        <v>9</v>
      </c>
      <c r="B41" s="9" t="s">
        <v>16</v>
      </c>
      <c r="C41" s="10" t="str">
        <f>CONCATENATE('Осн.пр.Базы данных'!BB32)</f>
        <v/>
      </c>
      <c r="D41" s="8">
        <f>'Осн.пр.Базы данных'!BC6</f>
        <v>3.3333333333333335</v>
      </c>
      <c r="E41" s="6">
        <f>'Осн.пр.Базы данных'!BD32</f>
        <v>0</v>
      </c>
      <c r="F41" s="6">
        <f>'Осн.пр.Базы данных'!BE32</f>
        <v>0</v>
      </c>
    </row>
    <row r="42" spans="1:6">
      <c r="A42" s="6">
        <v>10</v>
      </c>
      <c r="B42" s="9" t="s">
        <v>17</v>
      </c>
      <c r="C42" s="6" t="str">
        <f>CONCATENATE('Числ метод'!AI32)</f>
        <v/>
      </c>
      <c r="D42" s="8">
        <f>'Числ метод'!AJ6</f>
        <v>3.6666666666666665</v>
      </c>
      <c r="E42" s="6">
        <f>'Числ метод'!AK32</f>
        <v>0</v>
      </c>
      <c r="F42" s="6">
        <f>'Числ метод'!AL32</f>
        <v>0</v>
      </c>
    </row>
    <row r="43" spans="1:6">
      <c r="A43" s="6">
        <v>11</v>
      </c>
      <c r="B43" s="9" t="s">
        <v>18</v>
      </c>
      <c r="C43" s="13" t="str">
        <f>CONCATENATE('Комп сеть'!Y32)</f>
        <v>0</v>
      </c>
      <c r="D43" s="12">
        <f>'Комп сеть'!Z6</f>
        <v>4.1333333333333337</v>
      </c>
      <c r="E43" s="13">
        <f>'Комп сеть'!AA32</f>
        <v>0</v>
      </c>
      <c r="F43" s="13">
        <f>'Комп сеть'!AB32</f>
        <v>0</v>
      </c>
    </row>
    <row r="44" spans="1:6" ht="30">
      <c r="A44" s="6">
        <v>12</v>
      </c>
      <c r="B44" s="9" t="s">
        <v>19</v>
      </c>
      <c r="C44" s="13" t="str">
        <f>CONCATENATE('Теор.вероят и мат.стат'!BX32)</f>
        <v/>
      </c>
      <c r="D44" s="12">
        <f>'Теор.вероят и мат.стат'!BY6</f>
        <v>3.25</v>
      </c>
      <c r="E44" s="13">
        <f>'Теор.вероят и мат.стат'!BZ32</f>
        <v>0</v>
      </c>
      <c r="F44" s="13">
        <f>'Теор.вероят и мат.стат'!CA32</f>
        <v>0</v>
      </c>
    </row>
    <row r="45" spans="1:6">
      <c r="A45" s="6">
        <v>13</v>
      </c>
      <c r="B45" s="9" t="s">
        <v>20</v>
      </c>
      <c r="C45" s="11" t="str">
        <f>CONCATENATE('Дискрет.мат '!BQ32)</f>
        <v/>
      </c>
      <c r="D45" s="12">
        <f>'Дискрет.мат '!BR6</f>
        <v>2</v>
      </c>
      <c r="E45" s="13">
        <f>'Дискрет.мат '!BS32</f>
        <v>0</v>
      </c>
      <c r="F45" s="13">
        <f>'Дискрет.мат '!BT32</f>
        <v>0</v>
      </c>
    </row>
    <row r="46" spans="1:6" ht="30">
      <c r="A46" s="6">
        <v>14</v>
      </c>
      <c r="B46" s="9" t="s">
        <v>21</v>
      </c>
      <c r="C46" s="14" t="str">
        <f>CONCATENATE('Разработка кода ИС'!AO32)</f>
        <v/>
      </c>
      <c r="D46" s="15">
        <f>'Разработка кода ИС'!AP6</f>
        <v>2.5</v>
      </c>
      <c r="E46" s="16">
        <f>'Разработка кода ИС'!AQ32</f>
        <v>0</v>
      </c>
      <c r="F46" s="16">
        <f>'Разработка кода ИС'!AR32</f>
        <v>0</v>
      </c>
    </row>
    <row r="47" spans="1:6" ht="30">
      <c r="A47" s="6">
        <v>15</v>
      </c>
      <c r="B47" s="9" t="s">
        <v>22</v>
      </c>
      <c r="C47" s="1268"/>
      <c r="D47" s="8" t="str">
        <f>'Внедр.подд.комп.систем'!BC6</f>
        <v>Нет оценок</v>
      </c>
      <c r="E47" s="6">
        <f>'Внедр.подд.комп.систем'!BD32</f>
        <v>0</v>
      </c>
      <c r="F47" s="6">
        <f>'Внедр.подд.комп.систем'!BE32</f>
        <v>0</v>
      </c>
    </row>
    <row r="48" spans="1:6" ht="45">
      <c r="A48" s="6">
        <v>16</v>
      </c>
      <c r="B48" s="9" t="s">
        <v>23</v>
      </c>
      <c r="C48" s="1270"/>
      <c r="D48" s="8">
        <f>'Тестирование ИС'!CA6</f>
        <v>5</v>
      </c>
      <c r="E48" s="6">
        <f>'Тестирование ИС'!CB32</f>
        <v>0</v>
      </c>
      <c r="F48" s="6">
        <f>'Тестирование ИС'!CC32</f>
        <v>0</v>
      </c>
    </row>
    <row r="49" spans="1:6">
      <c r="A49" s="6">
        <v>17</v>
      </c>
      <c r="B49" s="9" t="s">
        <v>24</v>
      </c>
      <c r="C49" s="1270"/>
      <c r="D49" s="8">
        <f>Псих.общ!BW6</f>
        <v>4</v>
      </c>
      <c r="E49" s="6">
        <f>Псих.общ!BX6</f>
        <v>0</v>
      </c>
      <c r="F49" s="6">
        <f>Псих.общ!BY6</f>
        <v>4</v>
      </c>
    </row>
    <row r="50" spans="1:6" ht="30">
      <c r="A50" s="17">
        <v>18</v>
      </c>
      <c r="B50" s="18" t="s">
        <v>25</v>
      </c>
      <c r="C50" s="1270"/>
      <c r="D50" s="19" t="str">
        <f>'Тех.разра.БД'!AA6</f>
        <v>Нет оценок</v>
      </c>
      <c r="E50" s="17">
        <f>'Тех.разра.БД'!AB32</f>
        <v>0</v>
      </c>
      <c r="F50" s="17">
        <f>'Тех.разра.БД'!AC32</f>
        <v>0</v>
      </c>
    </row>
    <row r="51" spans="1:6">
      <c r="A51" s="6">
        <v>19</v>
      </c>
      <c r="B51" s="18" t="s">
        <v>26</v>
      </c>
      <c r="C51" s="13"/>
      <c r="D51" s="19">
        <f>БЖ!AA6</f>
        <v>3.4285714285714284</v>
      </c>
      <c r="E51" s="17">
        <f>БЖ!AB32</f>
        <v>0</v>
      </c>
      <c r="F51" s="17">
        <f>БЖ!AC32</f>
        <v>0</v>
      </c>
    </row>
    <row r="52" spans="1:6" s="5" customFormat="1" ht="30">
      <c r="A52" s="1469" t="s">
        <v>27</v>
      </c>
      <c r="B52" s="1468" t="s">
        <v>634</v>
      </c>
      <c r="C52" s="13">
        <f>'Граф диз и мульт'!Z5</f>
        <v>0</v>
      </c>
      <c r="D52" s="8">
        <f>'Граф диз и мульт'!AA5</f>
        <v>4.333333333333333</v>
      </c>
      <c r="E52" s="6">
        <f>'Граф диз и мульт'!AB5</f>
        <v>0</v>
      </c>
      <c r="F52" s="6">
        <f>'Граф диз и мульт'!AC5</f>
        <v>0</v>
      </c>
    </row>
    <row r="53" spans="1:6" ht="30">
      <c r="A53" s="1469" t="s">
        <v>86</v>
      </c>
      <c r="B53" s="7" t="s">
        <v>28</v>
      </c>
      <c r="C53" s="13"/>
      <c r="D53" s="8">
        <f>'Проектирование и дизайн ИС'!AP6</f>
        <v>4.1818181818181817</v>
      </c>
      <c r="E53" s="6">
        <f>'Проектирование и дизайн ИС'!AQ32</f>
        <v>0</v>
      </c>
      <c r="F53" s="6">
        <f>'Проектирование и дизайн ИС'!AR32</f>
        <v>0</v>
      </c>
    </row>
    <row r="54" spans="1:6" ht="15.75">
      <c r="A54" s="21"/>
      <c r="B54" s="21"/>
      <c r="C54" s="21"/>
      <c r="D54" s="22">
        <f>IFERROR(AVERAGE(D33:D53),"")</f>
        <v>3.6755468215994531</v>
      </c>
      <c r="E54" s="23">
        <f>SUM(E33:E53)</f>
        <v>0</v>
      </c>
      <c r="F54" s="23">
        <f>SUM(F33:F53)</f>
        <v>12</v>
      </c>
    </row>
    <row r="55" spans="1:6" ht="15.75">
      <c r="A55" s="21"/>
      <c r="B55" s="21"/>
      <c r="C55" s="21"/>
      <c r="D55" s="24"/>
      <c r="E55" s="1271" t="s">
        <v>29</v>
      </c>
      <c r="F55" s="1272"/>
    </row>
    <row r="56" spans="1:6" ht="15.75">
      <c r="A56" s="21"/>
      <c r="B56" s="21"/>
      <c r="C56" s="21"/>
      <c r="D56" s="24"/>
      <c r="E56" s="1273">
        <f>SUM(E54:F54)</f>
        <v>12</v>
      </c>
      <c r="F56" s="1274"/>
    </row>
    <row r="57" spans="1:6" ht="15.75">
      <c r="A57" s="1"/>
      <c r="B57" s="1"/>
      <c r="C57" s="1"/>
      <c r="D57" s="1"/>
      <c r="E57" s="1"/>
      <c r="F57" s="1"/>
    </row>
    <row r="58" spans="1:6" ht="15.75">
      <c r="A58" s="1260" t="str">
        <f>Ин.яз!B7</f>
        <v>Бараников Владислав Михайлович</v>
      </c>
      <c r="B58" s="1261"/>
      <c r="C58" s="1261"/>
      <c r="D58" s="1261"/>
      <c r="E58" s="1261"/>
      <c r="F58" s="1262"/>
    </row>
    <row r="59" spans="1:6">
      <c r="A59" s="1263">
        <f ca="1">TODAY()</f>
        <v>46120</v>
      </c>
      <c r="B59" s="1264"/>
      <c r="C59" s="1264"/>
      <c r="D59" s="1265"/>
      <c r="E59" s="1266" t="s">
        <v>0</v>
      </c>
      <c r="F59" s="1267"/>
    </row>
    <row r="60" spans="1:6" ht="28.5">
      <c r="A60" s="2" t="s">
        <v>1</v>
      </c>
      <c r="B60" s="2" t="s">
        <v>2</v>
      </c>
      <c r="C60" s="3" t="s">
        <v>3</v>
      </c>
      <c r="D60" s="4" t="s">
        <v>4</v>
      </c>
      <c r="E60" s="4" t="s">
        <v>5</v>
      </c>
      <c r="F60" s="4" t="s">
        <v>6</v>
      </c>
    </row>
    <row r="61" spans="1:6" ht="30">
      <c r="A61" s="6">
        <v>1</v>
      </c>
      <c r="B61" s="7" t="s">
        <v>7</v>
      </c>
      <c r="C61" s="1268"/>
      <c r="D61" s="8">
        <f>Ин.яз!AN7</f>
        <v>3.6923076923076925</v>
      </c>
      <c r="E61" s="6">
        <f>Ин.яз!AO7</f>
        <v>0</v>
      </c>
      <c r="F61" s="6">
        <f>Ин.яз!AP7</f>
        <v>1</v>
      </c>
    </row>
    <row r="62" spans="1:6">
      <c r="A62" s="6">
        <v>2</v>
      </c>
      <c r="B62" s="9" t="s">
        <v>8</v>
      </c>
      <c r="C62" s="1269"/>
      <c r="D62" s="8">
        <f>Физ.ра!BL7</f>
        <v>5</v>
      </c>
      <c r="E62" s="6">
        <f>Физ.ра!BM7</f>
        <v>0</v>
      </c>
      <c r="F62" s="6">
        <f>Физ.ра!BN7</f>
        <v>0</v>
      </c>
    </row>
    <row r="63" spans="1:6">
      <c r="A63" s="6">
        <v>3</v>
      </c>
      <c r="B63" s="9" t="s">
        <v>9</v>
      </c>
      <c r="C63" s="10" t="str">
        <f>CONCATENATE(История!AC59)</f>
        <v/>
      </c>
      <c r="D63" s="8">
        <f>История!AD7</f>
        <v>3.875</v>
      </c>
      <c r="E63" s="6">
        <f>История!AE7</f>
        <v>0</v>
      </c>
      <c r="F63" s="6">
        <f>История!AF7</f>
        <v>0</v>
      </c>
    </row>
    <row r="64" spans="1:6" ht="30">
      <c r="A64" s="6">
        <v>4</v>
      </c>
      <c r="B64" s="9" t="s">
        <v>10</v>
      </c>
      <c r="C64" s="10" t="str">
        <f>CONCATENATE(ПиРИП!AP60)</f>
        <v/>
      </c>
      <c r="D64" s="8">
        <f>ПиРИП!AQ7</f>
        <v>4.3684210526315788</v>
      </c>
      <c r="E64" s="6">
        <f>ПиРИП!AR7</f>
        <v>0</v>
      </c>
      <c r="F64" s="6">
        <f>ПиРИП!AS7</f>
        <v>0</v>
      </c>
    </row>
    <row r="65" spans="1:6">
      <c r="A65" s="6">
        <v>5</v>
      </c>
      <c r="B65" s="9" t="s">
        <v>11</v>
      </c>
      <c r="C65" s="10" t="str">
        <f>CONCATENATE('Элемент выш мат'!BQ59)</f>
        <v/>
      </c>
      <c r="D65" s="8">
        <f>'Элемент выш мат'!BR7</f>
        <v>3.7857142857142856</v>
      </c>
      <c r="E65" s="6">
        <f>'Элемент выш мат'!BS7</f>
        <v>0</v>
      </c>
      <c r="F65" s="6">
        <f>'Элемент выш мат'!BT7</f>
        <v>1</v>
      </c>
    </row>
    <row r="66" spans="1:6" ht="30">
      <c r="A66" s="6">
        <v>6</v>
      </c>
      <c r="B66" s="9" t="s">
        <v>12</v>
      </c>
      <c r="C66" s="10" t="str">
        <f>CONCATENATE('арх.ап.средств'!AP58)</f>
        <v/>
      </c>
      <c r="D66" s="8">
        <f>'арх.ап.средств'!AQ7</f>
        <v>4.4666666666666668</v>
      </c>
      <c r="E66" s="6">
        <f>'арх.ап.средств'!AR7</f>
        <v>0</v>
      </c>
      <c r="F66" s="6">
        <f>'арх.ап.средств'!AS7</f>
        <v>0</v>
      </c>
    </row>
    <row r="67" spans="1:6">
      <c r="A67" s="6">
        <v>7</v>
      </c>
      <c r="B67" s="9" t="s">
        <v>13</v>
      </c>
      <c r="C67" s="10" t="str">
        <f>CONCATENATE('Опер.систем-среды'!AV59)</f>
        <v/>
      </c>
      <c r="D67" s="8">
        <f>'Опер.систем-среды'!AW7</f>
        <v>2.5</v>
      </c>
      <c r="E67" s="6">
        <f>'Опер.систем-среды'!AX7</f>
        <v>0</v>
      </c>
      <c r="F67" s="6">
        <f>'Опер.систем-среды'!AY7</f>
        <v>0</v>
      </c>
    </row>
    <row r="68" spans="1:6" ht="30">
      <c r="A68" s="6">
        <v>8</v>
      </c>
      <c r="B68" s="9" t="s">
        <v>14</v>
      </c>
      <c r="C68" s="10" t="str">
        <f>CONCATENATE('Основы алгоритмизации'!CC59)</f>
        <v/>
      </c>
      <c r="D68" s="8">
        <f>'Основы алгоритмизации'!CD7</f>
        <v>2.6666666666666665</v>
      </c>
      <c r="E68" s="6">
        <f>'Основы алгоритмизации'!CE7</f>
        <v>0</v>
      </c>
      <c r="F68" s="6">
        <f>'Основы алгоритмизации'!CF7</f>
        <v>3</v>
      </c>
    </row>
    <row r="69" spans="1:6" ht="30">
      <c r="A69" s="6">
        <v>9</v>
      </c>
      <c r="B69" s="9" t="s">
        <v>16</v>
      </c>
      <c r="C69" s="10" t="str">
        <f>CONCATENATE('Осн.пр.Базы данных'!BB59)</f>
        <v/>
      </c>
      <c r="D69" s="8">
        <f>'Осн.пр.Базы данных'!BC7</f>
        <v>3</v>
      </c>
      <c r="E69" s="6">
        <f>'Осн.пр.Базы данных'!BD7</f>
        <v>0</v>
      </c>
      <c r="F69" s="6">
        <f>'Осн.пр.Базы данных'!BE7</f>
        <v>1</v>
      </c>
    </row>
    <row r="70" spans="1:6">
      <c r="A70" s="6">
        <v>10</v>
      </c>
      <c r="B70" s="9" t="s">
        <v>17</v>
      </c>
      <c r="C70" s="10" t="str">
        <f>CONCATENATE('Числ метод'!AI59)</f>
        <v/>
      </c>
      <c r="D70" s="8">
        <f>'Числ метод'!AJ7</f>
        <v>3.7777777777777777</v>
      </c>
      <c r="E70" s="6">
        <f>'Числ метод'!AK7</f>
        <v>0</v>
      </c>
      <c r="F70" s="6">
        <f>'Числ метод'!AL7</f>
        <v>0</v>
      </c>
    </row>
    <row r="71" spans="1:6">
      <c r="A71" s="6">
        <v>11</v>
      </c>
      <c r="B71" s="9" t="s">
        <v>18</v>
      </c>
      <c r="C71" s="11" t="str">
        <f>CONCATENATE('Комп сеть'!Y59)</f>
        <v/>
      </c>
      <c r="D71" s="12">
        <f>'Комп сеть'!Z7</f>
        <v>4.7647058823529411</v>
      </c>
      <c r="E71" s="13">
        <f>'Комп сеть'!AA7</f>
        <v>0</v>
      </c>
      <c r="F71" s="13">
        <f>'Комп сеть'!AB7</f>
        <v>0</v>
      </c>
    </row>
    <row r="72" spans="1:6" ht="30">
      <c r="A72" s="6">
        <v>12</v>
      </c>
      <c r="B72" s="9" t="s">
        <v>19</v>
      </c>
      <c r="C72" s="11" t="str">
        <f>CONCATENATE('Теор.вероят и мат.стат'!BX59)</f>
        <v/>
      </c>
      <c r="D72" s="12">
        <f>'Теор.вероят и мат.стат'!BY7</f>
        <v>4</v>
      </c>
      <c r="E72" s="13">
        <f>'Теор.вероят и мат.стат'!BZ7</f>
        <v>0</v>
      </c>
      <c r="F72" s="13">
        <f>'Теор.вероят и мат.стат'!CA7</f>
        <v>0</v>
      </c>
    </row>
    <row r="73" spans="1:6">
      <c r="A73" s="6">
        <v>13</v>
      </c>
      <c r="B73" s="9" t="s">
        <v>20</v>
      </c>
      <c r="C73" s="11" t="str">
        <f>CONCATENATE('Дискрет.мат '!BQ59)</f>
        <v/>
      </c>
      <c r="D73" s="12">
        <f>'Дискрет.мат '!BR7</f>
        <v>4</v>
      </c>
      <c r="E73" s="13">
        <f>'Дискрет.мат '!BS7</f>
        <v>0</v>
      </c>
      <c r="F73" s="13">
        <f>'Дискрет.мат '!BT7</f>
        <v>0</v>
      </c>
    </row>
    <row r="74" spans="1:6" ht="30">
      <c r="A74" s="6">
        <v>14</v>
      </c>
      <c r="B74" s="9" t="s">
        <v>21</v>
      </c>
      <c r="C74" s="14" t="str">
        <f>CONCATENATE('Разработка кода ИС'!AO59)</f>
        <v/>
      </c>
      <c r="D74" s="15">
        <f>'Разработка кода ИС'!AP7</f>
        <v>5</v>
      </c>
      <c r="E74" s="16">
        <f>'Разработка кода ИС'!AQ7</f>
        <v>0</v>
      </c>
      <c r="F74" s="16">
        <f>'Разработка кода ИС'!AR7</f>
        <v>0</v>
      </c>
    </row>
    <row r="75" spans="1:6" ht="30">
      <c r="A75" s="6">
        <v>15</v>
      </c>
      <c r="B75" s="9" t="s">
        <v>22</v>
      </c>
      <c r="C75" s="1268"/>
      <c r="D75" s="8" t="str">
        <f>'Внедр.подд.комп.систем'!BC7</f>
        <v>Нет оценок</v>
      </c>
      <c r="E75" s="6">
        <f>'Внедр.подд.комп.систем'!BD7</f>
        <v>0</v>
      </c>
      <c r="F75" s="6">
        <f>'Внедр.подд.комп.систем'!BE7</f>
        <v>0</v>
      </c>
    </row>
    <row r="76" spans="1:6" ht="45">
      <c r="A76" s="6">
        <v>16</v>
      </c>
      <c r="B76" s="9" t="s">
        <v>23</v>
      </c>
      <c r="C76" s="1270"/>
      <c r="D76" s="8">
        <f>'Тестирование ИС'!CA7</f>
        <v>5</v>
      </c>
      <c r="E76" s="6">
        <f>'Тестирование ИС'!CB7</f>
        <v>0</v>
      </c>
      <c r="F76" s="6">
        <f>'Тестирование ИС'!CC7</f>
        <v>1</v>
      </c>
    </row>
    <row r="77" spans="1:6">
      <c r="A77" s="6">
        <v>17</v>
      </c>
      <c r="B77" s="9" t="s">
        <v>24</v>
      </c>
      <c r="C77" s="1270"/>
      <c r="D77" s="8">
        <f>Псих.общ!BW7</f>
        <v>4.25</v>
      </c>
      <c r="E77" s="6">
        <f>Псих.общ!BX7</f>
        <v>0</v>
      </c>
      <c r="F77" s="6">
        <f>Псих.общ!BY7</f>
        <v>0</v>
      </c>
    </row>
    <row r="78" spans="1:6" ht="30">
      <c r="A78" s="17">
        <v>18</v>
      </c>
      <c r="B78" s="18" t="s">
        <v>25</v>
      </c>
      <c r="C78" s="1270"/>
      <c r="D78" s="19" t="str">
        <f>'Тех.разра.БД'!AA7</f>
        <v>Нет оценок</v>
      </c>
      <c r="E78" s="17">
        <f>'Тех.разра.БД'!AB7</f>
        <v>0</v>
      </c>
      <c r="F78" s="17">
        <f>'Тех.разра.БД'!AC7</f>
        <v>0</v>
      </c>
    </row>
    <row r="79" spans="1:6">
      <c r="A79" s="6">
        <v>19</v>
      </c>
      <c r="B79" s="18" t="s">
        <v>26</v>
      </c>
      <c r="C79" s="13"/>
      <c r="D79" s="19">
        <f>БЖ!AA7</f>
        <v>4.1428571428571432</v>
      </c>
      <c r="E79" s="17">
        <f>БЖ!AB7</f>
        <v>0</v>
      </c>
      <c r="F79" s="17">
        <f>БЖ!AC7</f>
        <v>0</v>
      </c>
    </row>
    <row r="80" spans="1:6" s="5" customFormat="1" ht="30">
      <c r="A80" s="1469" t="s">
        <v>27</v>
      </c>
      <c r="B80" s="1468" t="s">
        <v>634</v>
      </c>
      <c r="C80" s="13">
        <f>'Граф диз и мульт'!Z7</f>
        <v>0</v>
      </c>
      <c r="D80" s="8">
        <f>'Граф диз и мульт'!AA7</f>
        <v>5</v>
      </c>
      <c r="E80" s="6">
        <f>'Граф диз и мульт'!AB7</f>
        <v>0</v>
      </c>
      <c r="F80" s="6">
        <f>'Граф диз и мульт'!AC7</f>
        <v>1</v>
      </c>
    </row>
    <row r="81" spans="1:6" ht="30">
      <c r="A81" s="1469" t="s">
        <v>86</v>
      </c>
      <c r="B81" s="7" t="s">
        <v>28</v>
      </c>
      <c r="C81" s="13"/>
      <c r="D81" s="8">
        <f>'Проектирование и дизайн ИС'!AP7</f>
        <v>4.7857142857142856</v>
      </c>
      <c r="E81" s="6">
        <f>'Проектирование и дизайн ИС'!AQ7</f>
        <v>0</v>
      </c>
      <c r="F81" s="6">
        <f>'Проектирование и дизайн ИС'!AR7</f>
        <v>1</v>
      </c>
    </row>
    <row r="82" spans="1:6" ht="15.75">
      <c r="A82" s="21"/>
      <c r="B82" s="21"/>
      <c r="C82" s="21"/>
      <c r="D82" s="22">
        <f>IFERROR(AVERAGE(D61:D81),"")</f>
        <v>4.1092542869836333</v>
      </c>
      <c r="E82" s="23">
        <f>SUM(E61:E81)</f>
        <v>0</v>
      </c>
      <c r="F82" s="23">
        <f>SUM(F61:F81)</f>
        <v>9</v>
      </c>
    </row>
    <row r="83" spans="1:6" ht="15.75">
      <c r="A83" s="21"/>
      <c r="B83" s="21"/>
      <c r="C83" s="21"/>
      <c r="D83" s="24"/>
      <c r="E83" s="1271" t="s">
        <v>29</v>
      </c>
      <c r="F83" s="1272"/>
    </row>
    <row r="84" spans="1:6" ht="15.75">
      <c r="A84" s="21"/>
      <c r="B84" s="21"/>
      <c r="C84" s="21"/>
      <c r="D84" s="24"/>
      <c r="E84" s="1273">
        <f>SUM(E82:F82)</f>
        <v>9</v>
      </c>
      <c r="F84" s="1274"/>
    </row>
    <row r="85" spans="1:6" ht="15.75">
      <c r="A85" s="1"/>
      <c r="B85" s="1"/>
      <c r="C85" s="1"/>
      <c r="D85" s="1"/>
      <c r="E85" s="1"/>
      <c r="F85" s="1"/>
    </row>
    <row r="86" spans="1:6" ht="15.75">
      <c r="A86" s="1260" t="str">
        <f>Ин.яз!B8</f>
        <v>Борсук Артём Дмитриевич</v>
      </c>
      <c r="B86" s="1261"/>
      <c r="C86" s="1261"/>
      <c r="D86" s="1261"/>
      <c r="E86" s="1261"/>
      <c r="F86" s="1262"/>
    </row>
    <row r="87" spans="1:6">
      <c r="A87" s="1263">
        <f ca="1">TODAY()</f>
        <v>46120</v>
      </c>
      <c r="B87" s="1264"/>
      <c r="C87" s="1264"/>
      <c r="D87" s="1265"/>
      <c r="E87" s="1266" t="s">
        <v>0</v>
      </c>
      <c r="F87" s="1267"/>
    </row>
    <row r="88" spans="1:6" ht="28.5">
      <c r="A88" s="2" t="s">
        <v>1</v>
      </c>
      <c r="B88" s="2" t="s">
        <v>2</v>
      </c>
      <c r="C88" s="3" t="s">
        <v>3</v>
      </c>
      <c r="D88" s="4" t="s">
        <v>4</v>
      </c>
      <c r="E88" s="4" t="s">
        <v>5</v>
      </c>
      <c r="F88" s="4" t="s">
        <v>6</v>
      </c>
    </row>
    <row r="89" spans="1:6" ht="30">
      <c r="A89" s="6">
        <v>1</v>
      </c>
      <c r="B89" s="7" t="s">
        <v>7</v>
      </c>
      <c r="C89" s="1268"/>
      <c r="D89" s="8">
        <f>Ин.яз!AN8</f>
        <v>3.4545454545454546</v>
      </c>
      <c r="E89" s="6">
        <f>Ин.яз!AO8</f>
        <v>0</v>
      </c>
      <c r="F89" s="6">
        <f>Ин.яз!AP8</f>
        <v>4</v>
      </c>
    </row>
    <row r="90" spans="1:6">
      <c r="A90" s="6">
        <v>2</v>
      </c>
      <c r="B90" s="9" t="s">
        <v>8</v>
      </c>
      <c r="C90" s="1269"/>
      <c r="D90" s="8">
        <f>Физ.ра!BL8</f>
        <v>4.5999999999999996</v>
      </c>
      <c r="E90" s="6">
        <f>Физ.ра!BM8</f>
        <v>0</v>
      </c>
      <c r="F90" s="6">
        <f>Физ.ра!BN8</f>
        <v>1</v>
      </c>
    </row>
    <row r="91" spans="1:6">
      <c r="A91" s="6">
        <v>3</v>
      </c>
      <c r="B91" s="9" t="s">
        <v>9</v>
      </c>
      <c r="C91" s="10" t="str">
        <f>CONCATENATE(История!AC86)</f>
        <v/>
      </c>
      <c r="D91" s="8">
        <f>История!AD8</f>
        <v>3.75</v>
      </c>
      <c r="E91" s="6">
        <f>История!AE8</f>
        <v>0</v>
      </c>
      <c r="F91" s="6">
        <f>История!AF8</f>
        <v>0</v>
      </c>
    </row>
    <row r="92" spans="1:6" ht="30">
      <c r="A92" s="6">
        <v>4</v>
      </c>
      <c r="B92" s="9" t="s">
        <v>10</v>
      </c>
      <c r="C92" s="10" t="str">
        <f>CONCATENATE(ПиРИП!AP87)</f>
        <v/>
      </c>
      <c r="D92" s="8">
        <f>ПиРИП!AQ8</f>
        <v>3.8461538461538463</v>
      </c>
      <c r="E92" s="6">
        <f>ПиРИП!AR8</f>
        <v>0</v>
      </c>
      <c r="F92" s="6">
        <f>ПиРИП!AS8</f>
        <v>6</v>
      </c>
    </row>
    <row r="93" spans="1:6">
      <c r="A93" s="6">
        <v>5</v>
      </c>
      <c r="B93" s="9" t="s">
        <v>11</v>
      </c>
      <c r="C93" s="10" t="str">
        <f>CONCATENATE('Элемент выш мат'!BQ86)</f>
        <v/>
      </c>
      <c r="D93" s="8">
        <f>'Элемент выш мат'!BR8</f>
        <v>3.3333333333333335</v>
      </c>
      <c r="E93" s="6">
        <f>'Элемент выш мат'!BS8</f>
        <v>0</v>
      </c>
      <c r="F93" s="6">
        <f>'Элемент выш мат'!BT8</f>
        <v>6</v>
      </c>
    </row>
    <row r="94" spans="1:6" ht="30">
      <c r="A94" s="6">
        <v>6</v>
      </c>
      <c r="B94" s="9" t="s">
        <v>12</v>
      </c>
      <c r="C94" s="10" t="str">
        <f>CONCATENATE('арх.ап.средств'!AP85)</f>
        <v/>
      </c>
      <c r="D94" s="8">
        <f>'арх.ап.средств'!AQ8</f>
        <v>4.5999999999999996</v>
      </c>
      <c r="E94" s="6">
        <f>'арх.ап.средств'!AR8</f>
        <v>0</v>
      </c>
      <c r="F94" s="6">
        <f>'арх.ап.средств'!AS8</f>
        <v>0</v>
      </c>
    </row>
    <row r="95" spans="1:6">
      <c r="A95" s="6">
        <v>7</v>
      </c>
      <c r="B95" s="9" t="s">
        <v>13</v>
      </c>
      <c r="C95" s="10" t="str">
        <f>CONCATENATE('Опер.систем-среды'!AV86)</f>
        <v/>
      </c>
      <c r="D95" s="8">
        <f>'Опер.систем-среды'!AW8</f>
        <v>2.5</v>
      </c>
      <c r="E95" s="6">
        <f>'Опер.систем-среды'!AX8</f>
        <v>0</v>
      </c>
      <c r="F95" s="6">
        <f>'Опер.систем-среды'!AY8</f>
        <v>9</v>
      </c>
    </row>
    <row r="96" spans="1:6" ht="30">
      <c r="A96" s="6">
        <v>8</v>
      </c>
      <c r="B96" s="9" t="s">
        <v>14</v>
      </c>
      <c r="C96" s="10" t="str">
        <f>CONCATENATE('Основы алгоритмизации'!CC86)</f>
        <v/>
      </c>
      <c r="D96" s="8">
        <f>'Основы алгоритмизации'!CD8</f>
        <v>2.5714285714285716</v>
      </c>
      <c r="E96" s="6">
        <f>'Основы алгоритмизации'!CE8</f>
        <v>0</v>
      </c>
      <c r="F96" s="6">
        <f>'Основы алгоритмизации'!CF8</f>
        <v>7</v>
      </c>
    </row>
    <row r="97" spans="1:6" ht="30">
      <c r="A97" s="6">
        <v>9</v>
      </c>
      <c r="B97" s="9" t="s">
        <v>16</v>
      </c>
      <c r="C97" s="10" t="str">
        <f>CONCATENATE('Осн.пр.Базы данных'!BB86)</f>
        <v/>
      </c>
      <c r="D97" s="8">
        <f>'Осн.пр.Базы данных'!BC8</f>
        <v>3</v>
      </c>
      <c r="E97" s="6">
        <f>'Осн.пр.Базы данных'!BD8</f>
        <v>0</v>
      </c>
      <c r="F97" s="6">
        <f>'Осн.пр.Базы данных'!BE8</f>
        <v>6</v>
      </c>
    </row>
    <row r="98" spans="1:6">
      <c r="A98" s="6">
        <v>10</v>
      </c>
      <c r="B98" s="9" t="s">
        <v>17</v>
      </c>
      <c r="C98" s="10" t="str">
        <f>CONCATENATE('Числ метод'!AI86)</f>
        <v/>
      </c>
      <c r="D98" s="8">
        <f>'Числ метод'!AJ8</f>
        <v>3</v>
      </c>
      <c r="E98" s="6">
        <f>'Числ метод'!AK8</f>
        <v>0</v>
      </c>
      <c r="F98" s="6">
        <f>'Числ метод'!AL8</f>
        <v>0</v>
      </c>
    </row>
    <row r="99" spans="1:6">
      <c r="A99" s="6">
        <v>11</v>
      </c>
      <c r="B99" s="9" t="s">
        <v>18</v>
      </c>
      <c r="C99" s="11" t="str">
        <f>CONCATENATE('Комп сеть'!Y86)</f>
        <v/>
      </c>
      <c r="D99" s="12">
        <f>'Комп сеть'!Z8</f>
        <v>4.2142857142857144</v>
      </c>
      <c r="E99" s="13">
        <f>'Комп сеть'!AA8</f>
        <v>0</v>
      </c>
      <c r="F99" s="13">
        <f>'Комп сеть'!AB8</f>
        <v>0</v>
      </c>
    </row>
    <row r="100" spans="1:6" ht="30">
      <c r="A100" s="6">
        <v>12</v>
      </c>
      <c r="B100" s="9" t="s">
        <v>19</v>
      </c>
      <c r="C100" s="11" t="str">
        <f>CONCATENATE('Теор.вероят и мат.стат'!BX86)</f>
        <v/>
      </c>
      <c r="D100" s="12">
        <f>'Теор.вероят и мат.стат'!BY8</f>
        <v>3.3333333333333335</v>
      </c>
      <c r="E100" s="13">
        <f>'Теор.вероят и мат.стат'!BZ8</f>
        <v>0</v>
      </c>
      <c r="F100" s="13">
        <f>'Теор.вероят и мат.стат'!CA8</f>
        <v>2</v>
      </c>
    </row>
    <row r="101" spans="1:6">
      <c r="A101" s="6">
        <v>13</v>
      </c>
      <c r="B101" s="9" t="s">
        <v>20</v>
      </c>
      <c r="C101" s="11" t="str">
        <f>CONCATENATE('Дискрет.мат '!BQ86)</f>
        <v/>
      </c>
      <c r="D101" s="12">
        <f>'Дискрет.мат '!BR8</f>
        <v>2.5</v>
      </c>
      <c r="E101" s="13">
        <f>'Дискрет.мат '!BS8</f>
        <v>0</v>
      </c>
      <c r="F101" s="13">
        <f>'Дискрет.мат '!BT8</f>
        <v>1</v>
      </c>
    </row>
    <row r="102" spans="1:6" ht="30">
      <c r="A102" s="6">
        <v>14</v>
      </c>
      <c r="B102" s="9" t="s">
        <v>21</v>
      </c>
      <c r="C102" s="14" t="str">
        <f>CONCATENATE('Разработка кода ИС'!AO86)</f>
        <v/>
      </c>
      <c r="D102" s="15" t="str">
        <f>'Разработка кода ИС'!AP8</f>
        <v>Нет оценок</v>
      </c>
      <c r="E102" s="16">
        <f>'Разработка кода ИС'!AQ8</f>
        <v>0</v>
      </c>
      <c r="F102" s="16">
        <f>'Разработка кода ИС'!AR8</f>
        <v>1</v>
      </c>
    </row>
    <row r="103" spans="1:6" ht="30">
      <c r="A103" s="6">
        <v>15</v>
      </c>
      <c r="B103" s="9" t="s">
        <v>22</v>
      </c>
      <c r="C103" s="1268"/>
      <c r="D103" s="8" t="str">
        <f>'Внедр.подд.комп.систем'!BC8</f>
        <v>Нет оценок</v>
      </c>
      <c r="E103" s="6">
        <f>'Внедр.подд.комп.систем'!BD8</f>
        <v>0</v>
      </c>
      <c r="F103" s="6">
        <f>'Внедр.подд.комп.систем'!BE8</f>
        <v>0</v>
      </c>
    </row>
    <row r="104" spans="1:6" ht="45">
      <c r="A104" s="6">
        <v>16</v>
      </c>
      <c r="B104" s="9" t="s">
        <v>23</v>
      </c>
      <c r="C104" s="1270"/>
      <c r="D104" s="8" t="str">
        <f>'Тестирование ИС'!CA8</f>
        <v>Нет оценок</v>
      </c>
      <c r="E104" s="6">
        <f>'Тестирование ИС'!CB8</f>
        <v>0</v>
      </c>
      <c r="F104" s="6">
        <f>'Тестирование ИС'!CC8</f>
        <v>4</v>
      </c>
    </row>
    <row r="105" spans="1:6">
      <c r="A105" s="6">
        <v>17</v>
      </c>
      <c r="B105" s="9" t="s">
        <v>24</v>
      </c>
      <c r="C105" s="1270"/>
      <c r="D105" s="8">
        <f>Псих.общ!BW8</f>
        <v>3.5</v>
      </c>
      <c r="E105" s="6">
        <f>Псих.общ!BX8</f>
        <v>0</v>
      </c>
      <c r="F105" s="6">
        <f>Псих.общ!BY8</f>
        <v>0</v>
      </c>
    </row>
    <row r="106" spans="1:6" ht="30">
      <c r="A106" s="17">
        <v>18</v>
      </c>
      <c r="B106" s="18" t="s">
        <v>25</v>
      </c>
      <c r="C106" s="1270"/>
      <c r="D106" s="19" t="str">
        <f>'Тех.разра.БД'!AA8</f>
        <v>Нет оценок</v>
      </c>
      <c r="E106" s="17">
        <f>'Тех.разра.БД'!AB8</f>
        <v>0</v>
      </c>
      <c r="F106" s="17">
        <f>'Тех.разра.БД'!AC8</f>
        <v>0</v>
      </c>
    </row>
    <row r="107" spans="1:6">
      <c r="A107" s="6">
        <v>19</v>
      </c>
      <c r="B107" s="18" t="s">
        <v>26</v>
      </c>
      <c r="C107" s="13"/>
      <c r="D107" s="19">
        <f>БЖ!AA8</f>
        <v>3.2727272727272729</v>
      </c>
      <c r="E107" s="17">
        <f>БЖ!AB8</f>
        <v>0</v>
      </c>
      <c r="F107" s="17">
        <f>БЖ!AC8</f>
        <v>0</v>
      </c>
    </row>
    <row r="108" spans="1:6" s="5" customFormat="1" ht="30">
      <c r="A108" s="1469" t="s">
        <v>27</v>
      </c>
      <c r="B108" s="1468" t="s">
        <v>634</v>
      </c>
      <c r="C108" s="13">
        <f>'Граф диз и мульт'!Z8</f>
        <v>0</v>
      </c>
      <c r="D108" s="8">
        <f>'Граф диз и мульт'!AA8</f>
        <v>4.5999999999999996</v>
      </c>
      <c r="E108" s="6">
        <f>'Граф диз и мульт'!AB8</f>
        <v>0</v>
      </c>
      <c r="F108" s="6">
        <f>'Граф диз и мульт'!AC8</f>
        <v>3</v>
      </c>
    </row>
    <row r="109" spans="1:6" ht="30">
      <c r="A109" s="1469" t="s">
        <v>86</v>
      </c>
      <c r="B109" s="7" t="s">
        <v>28</v>
      </c>
      <c r="C109" s="13"/>
      <c r="D109" s="8">
        <f>'Проектирование и дизайн ИС'!AP8</f>
        <v>4.2727272727272725</v>
      </c>
      <c r="E109" s="6">
        <f>'Проектирование и дизайн ИС'!AQ8</f>
        <v>0</v>
      </c>
      <c r="F109" s="6">
        <f>'Проектирование и дизайн ИС'!AR8</f>
        <v>5</v>
      </c>
    </row>
    <row r="110" spans="1:6" ht="15.75">
      <c r="A110" s="21"/>
      <c r="B110" s="21"/>
      <c r="C110" s="21"/>
      <c r="D110" s="22">
        <f>IFERROR(AVERAGE(D89:D109),"")</f>
        <v>3.5499138116785183</v>
      </c>
      <c r="E110" s="23">
        <f>SUM(E89:E109)</f>
        <v>0</v>
      </c>
      <c r="F110" s="23">
        <f>SUM(F89:F109)</f>
        <v>55</v>
      </c>
    </row>
    <row r="111" spans="1:6" ht="15.75">
      <c r="A111" s="21"/>
      <c r="B111" s="21"/>
      <c r="C111" s="21"/>
      <c r="D111" s="24"/>
      <c r="E111" s="1271" t="s">
        <v>29</v>
      </c>
      <c r="F111" s="1272"/>
    </row>
    <row r="112" spans="1:6" ht="15.75">
      <c r="A112" s="21"/>
      <c r="B112" s="21"/>
      <c r="C112" s="21"/>
      <c r="D112" s="24"/>
      <c r="E112" s="1273">
        <f>SUM(E110:F110)</f>
        <v>55</v>
      </c>
      <c r="F112" s="1274"/>
    </row>
    <row r="113" spans="1:6" ht="15.75">
      <c r="A113" s="1"/>
      <c r="B113" s="1"/>
      <c r="C113" s="1"/>
      <c r="D113" s="1"/>
      <c r="E113" s="1"/>
      <c r="F113" s="1"/>
    </row>
    <row r="114" spans="1:6" ht="15.75" hidden="1" customHeight="1">
      <c r="A114" s="1"/>
      <c r="B114" s="1"/>
      <c r="C114" s="1"/>
      <c r="D114" s="1"/>
      <c r="E114" s="1"/>
      <c r="F114" s="1"/>
    </row>
    <row r="115" spans="1:6" ht="15" hidden="1" customHeight="1">
      <c r="A115" s="1"/>
      <c r="B115" s="1"/>
      <c r="C115" s="1"/>
      <c r="D115" s="1"/>
      <c r="E115" s="1"/>
      <c r="F115" s="1"/>
    </row>
    <row r="116" spans="1:6" ht="30" hidden="1" customHeight="1">
      <c r="A116" s="1"/>
      <c r="B116" s="1"/>
      <c r="C116" s="1"/>
      <c r="D116" s="1"/>
      <c r="E116" s="1"/>
      <c r="F116" s="1"/>
    </row>
    <row r="117" spans="1:6" ht="42.75" hidden="1" customHeight="1">
      <c r="A117" s="1"/>
      <c r="B117" s="1"/>
      <c r="C117" s="1"/>
      <c r="D117" s="1"/>
      <c r="E117" s="1"/>
      <c r="F117" s="1"/>
    </row>
    <row r="118" spans="1:6" ht="15" hidden="1" customHeight="1">
      <c r="A118" s="1"/>
      <c r="B118" s="1"/>
      <c r="C118" s="1"/>
      <c r="D118" s="1"/>
      <c r="E118" s="1"/>
      <c r="F118" s="1"/>
    </row>
    <row r="119" spans="1:6" ht="15" hidden="1" customHeight="1">
      <c r="A119" s="1"/>
      <c r="B119" s="1"/>
      <c r="C119" s="1"/>
      <c r="D119" s="1"/>
      <c r="E119" s="1"/>
      <c r="F119" s="1"/>
    </row>
    <row r="120" spans="1:6" ht="28.5" hidden="1" customHeight="1">
      <c r="A120" s="1"/>
      <c r="B120" s="1"/>
      <c r="C120" s="1"/>
      <c r="D120" s="1"/>
      <c r="E120" s="1"/>
      <c r="F120" s="1"/>
    </row>
    <row r="121" spans="1:6" ht="28.5" hidden="1" customHeight="1">
      <c r="A121" s="1"/>
      <c r="B121" s="1"/>
      <c r="C121" s="1"/>
      <c r="D121" s="1"/>
      <c r="E121" s="1"/>
      <c r="F121" s="1"/>
    </row>
    <row r="122" spans="1:6" ht="28.5" hidden="1" customHeight="1">
      <c r="A122" s="1"/>
      <c r="B122" s="1"/>
      <c r="C122" s="1"/>
      <c r="D122" s="1"/>
      <c r="E122" s="1"/>
      <c r="F122" s="1"/>
    </row>
    <row r="123" spans="1:6" ht="28.5" hidden="1" customHeight="1">
      <c r="A123" s="1"/>
      <c r="B123" s="1"/>
      <c r="C123" s="1"/>
      <c r="D123" s="1"/>
      <c r="E123" s="1"/>
      <c r="F123" s="1"/>
    </row>
    <row r="124" spans="1:6" ht="28.5" hidden="1" customHeight="1">
      <c r="A124" s="1"/>
      <c r="B124" s="1"/>
      <c r="C124" s="1"/>
      <c r="D124" s="1"/>
      <c r="E124" s="1"/>
      <c r="F124" s="1"/>
    </row>
    <row r="125" spans="1:6" ht="28.5" hidden="1" customHeight="1">
      <c r="A125" s="1"/>
      <c r="B125" s="1"/>
      <c r="C125" s="1"/>
      <c r="D125" s="1"/>
      <c r="E125" s="1"/>
      <c r="F125" s="1"/>
    </row>
    <row r="126" spans="1:6" ht="15" hidden="1" customHeight="1">
      <c r="A126" s="1"/>
      <c r="B126" s="1"/>
      <c r="C126" s="1"/>
      <c r="D126" s="1"/>
      <c r="E126" s="1"/>
      <c r="F126" s="1"/>
    </row>
    <row r="127" spans="1:6" ht="15" hidden="1" customHeight="1">
      <c r="A127" s="1"/>
      <c r="B127" s="1"/>
      <c r="C127" s="1"/>
      <c r="D127" s="1"/>
      <c r="E127" s="1"/>
      <c r="F127" s="1"/>
    </row>
    <row r="128" spans="1:6" ht="28.5" hidden="1" customHeight="1">
      <c r="A128" s="1"/>
      <c r="B128" s="1"/>
      <c r="C128" s="1"/>
      <c r="D128" s="1"/>
      <c r="E128" s="1"/>
      <c r="F128" s="1"/>
    </row>
    <row r="129" spans="1:6" ht="15" hidden="1" customHeight="1">
      <c r="A129" s="1"/>
      <c r="B129" s="1"/>
      <c r="C129" s="1"/>
      <c r="D129" s="1"/>
      <c r="E129" s="1"/>
      <c r="F129" s="1"/>
    </row>
    <row r="130" spans="1:6" ht="28.5" hidden="1" customHeight="1">
      <c r="A130" s="1"/>
      <c r="B130" s="1"/>
      <c r="C130" s="1"/>
      <c r="D130" s="1"/>
      <c r="E130" s="1"/>
      <c r="F130" s="1"/>
    </row>
    <row r="131" spans="1:6" ht="28.5" hidden="1" customHeight="1">
      <c r="A131" s="1"/>
      <c r="B131" s="1"/>
      <c r="C131" s="1"/>
      <c r="D131" s="1"/>
      <c r="E131" s="1"/>
      <c r="F131" s="1"/>
    </row>
    <row r="132" spans="1:6" ht="42.75" hidden="1" customHeight="1">
      <c r="A132" s="1"/>
      <c r="B132" s="1"/>
      <c r="C132" s="1"/>
      <c r="D132" s="1"/>
      <c r="E132" s="1"/>
      <c r="F132" s="1"/>
    </row>
    <row r="133" spans="1:6" ht="15" hidden="1" customHeight="1">
      <c r="A133" s="1"/>
      <c r="B133" s="1"/>
      <c r="C133" s="1"/>
      <c r="D133" s="1"/>
      <c r="E133" s="1"/>
      <c r="F133" s="1"/>
    </row>
    <row r="134" spans="1:6" ht="28.5" hidden="1" customHeight="1">
      <c r="A134" s="1"/>
      <c r="B134" s="1"/>
      <c r="C134" s="1"/>
      <c r="D134" s="1"/>
      <c r="E134" s="1"/>
      <c r="F134" s="1"/>
    </row>
    <row r="135" spans="1:6" ht="15" hidden="1" customHeight="1">
      <c r="A135" s="1"/>
      <c r="B135" s="1"/>
      <c r="C135" s="1"/>
      <c r="D135" s="1"/>
      <c r="E135" s="1"/>
      <c r="F135" s="1"/>
    </row>
    <row r="136" spans="1:6" ht="15.75" hidden="1" customHeight="1">
      <c r="A136" s="1"/>
      <c r="B136" s="1"/>
      <c r="C136" s="1"/>
      <c r="D136" s="1"/>
      <c r="E136" s="1"/>
      <c r="F136" s="1"/>
    </row>
    <row r="137" spans="1:6" ht="15.75" hidden="1" customHeight="1">
      <c r="A137" s="1"/>
      <c r="B137" s="1"/>
      <c r="C137" s="1"/>
      <c r="D137" s="1"/>
      <c r="E137" s="1"/>
      <c r="F137" s="1"/>
    </row>
    <row r="138" spans="1:6" ht="15.75">
      <c r="A138" s="1260" t="str">
        <f>Ин.яз!B9</f>
        <v>Гильманов Ильназ Максимович</v>
      </c>
      <c r="B138" s="1261"/>
      <c r="C138" s="1261"/>
      <c r="D138" s="1261"/>
      <c r="E138" s="1261"/>
      <c r="F138" s="1262"/>
    </row>
    <row r="139" spans="1:6">
      <c r="A139" s="1263">
        <f ca="1">TODAY()</f>
        <v>46120</v>
      </c>
      <c r="B139" s="1264"/>
      <c r="C139" s="1264"/>
      <c r="D139" s="1265"/>
      <c r="E139" s="1266" t="s">
        <v>0</v>
      </c>
      <c r="F139" s="1267"/>
    </row>
    <row r="140" spans="1:6" ht="28.5">
      <c r="A140" s="2" t="s">
        <v>1</v>
      </c>
      <c r="B140" s="2" t="s">
        <v>2</v>
      </c>
      <c r="C140" s="3" t="s">
        <v>3</v>
      </c>
      <c r="D140" s="4" t="s">
        <v>4</v>
      </c>
      <c r="E140" s="4" t="s">
        <v>5</v>
      </c>
      <c r="F140" s="4" t="s">
        <v>6</v>
      </c>
    </row>
    <row r="141" spans="1:6" ht="30">
      <c r="A141" s="6">
        <v>1</v>
      </c>
      <c r="B141" s="7" t="s">
        <v>7</v>
      </c>
      <c r="C141" s="1268"/>
      <c r="D141" s="8">
        <f>Ин.яз!AN9</f>
        <v>3.5</v>
      </c>
      <c r="E141" s="6">
        <f>Ин.яз!AO9</f>
        <v>0</v>
      </c>
      <c r="F141" s="6">
        <f>Ин.яз!AP9</f>
        <v>2</v>
      </c>
    </row>
    <row r="142" spans="1:6">
      <c r="A142" s="6">
        <v>2</v>
      </c>
      <c r="B142" s="9" t="s">
        <v>8</v>
      </c>
      <c r="C142" s="1269"/>
      <c r="D142" s="8">
        <f>Физ.ра!BL9</f>
        <v>4.875</v>
      </c>
      <c r="E142" s="6">
        <f>Физ.ра!BM9</f>
        <v>0</v>
      </c>
      <c r="F142" s="6">
        <f>Физ.ра!BN9</f>
        <v>1</v>
      </c>
    </row>
    <row r="143" spans="1:6">
      <c r="A143" s="6">
        <v>3</v>
      </c>
      <c r="B143" s="9" t="s">
        <v>9</v>
      </c>
      <c r="C143" s="10" t="str">
        <f>CONCATENATE(История!AC137)</f>
        <v/>
      </c>
      <c r="D143" s="8">
        <f>История!AD9</f>
        <v>4.2</v>
      </c>
      <c r="E143" s="6">
        <f>История!AE9</f>
        <v>0</v>
      </c>
      <c r="F143" s="6">
        <f>История!AF9</f>
        <v>0</v>
      </c>
    </row>
    <row r="144" spans="1:6" ht="30">
      <c r="A144" s="6">
        <v>4</v>
      </c>
      <c r="B144" s="9" t="s">
        <v>10</v>
      </c>
      <c r="C144" s="10" t="str">
        <f>CONCATENATE(ПиРИП!AP138)</f>
        <v/>
      </c>
      <c r="D144" s="8">
        <f>ПиРИП!AQ9</f>
        <v>3.6</v>
      </c>
      <c r="E144" s="6">
        <f>ПиРИП!AR9</f>
        <v>0</v>
      </c>
      <c r="F144" s="6">
        <f>ПиРИП!AS9</f>
        <v>3</v>
      </c>
    </row>
    <row r="145" spans="1:6">
      <c r="A145" s="6">
        <v>5</v>
      </c>
      <c r="B145" s="9" t="s">
        <v>11</v>
      </c>
      <c r="C145" s="10" t="str">
        <f>CONCATENATE('Элемент выш мат'!BQ137)</f>
        <v/>
      </c>
      <c r="D145" s="8">
        <f>'Элемент выш мат'!BR9</f>
        <v>3.3636363636363638</v>
      </c>
      <c r="E145" s="6">
        <f>'Элемент выш мат'!BS9</f>
        <v>0</v>
      </c>
      <c r="F145" s="6">
        <f>'Элемент выш мат'!BT9</f>
        <v>3</v>
      </c>
    </row>
    <row r="146" spans="1:6" ht="30">
      <c r="A146" s="6">
        <v>6</v>
      </c>
      <c r="B146" s="9" t="s">
        <v>12</v>
      </c>
      <c r="C146" s="10" t="str">
        <f>CONCATENATE('арх.ап.средств'!AP136)</f>
        <v/>
      </c>
      <c r="D146" s="8">
        <f>'арх.ап.средств'!AQ9</f>
        <v>3.1333333333333333</v>
      </c>
      <c r="E146" s="6">
        <f>'арх.ап.средств'!AR9</f>
        <v>0</v>
      </c>
      <c r="F146" s="6">
        <f>'арх.ап.средств'!AS9</f>
        <v>0</v>
      </c>
    </row>
    <row r="147" spans="1:6">
      <c r="A147" s="6">
        <v>7</v>
      </c>
      <c r="B147" s="9" t="s">
        <v>13</v>
      </c>
      <c r="C147" s="10" t="str">
        <f>CONCATENATE('Опер.систем-среды'!AV137)</f>
        <v/>
      </c>
      <c r="D147" s="8">
        <f>'Опер.систем-среды'!AW9</f>
        <v>4</v>
      </c>
      <c r="E147" s="6">
        <f>'Опер.систем-среды'!AX9</f>
        <v>1</v>
      </c>
      <c r="F147" s="6">
        <f>'Опер.систем-среды'!AY9</f>
        <v>3</v>
      </c>
    </row>
    <row r="148" spans="1:6" ht="30">
      <c r="A148" s="6">
        <v>8</v>
      </c>
      <c r="B148" s="9" t="s">
        <v>14</v>
      </c>
      <c r="C148" s="10" t="str">
        <f>CONCATENATE('Основы алгоритмизации'!CC137)</f>
        <v/>
      </c>
      <c r="D148" s="8">
        <f>'Основы алгоритмизации'!CD9</f>
        <v>2.5833333333333335</v>
      </c>
      <c r="E148" s="6">
        <f>'Основы алгоритмизации'!CE9</f>
        <v>0</v>
      </c>
      <c r="F148" s="6">
        <f>'Основы алгоритмизации'!CF9</f>
        <v>2</v>
      </c>
    </row>
    <row r="149" spans="1:6" ht="30">
      <c r="A149" s="6">
        <v>9</v>
      </c>
      <c r="B149" s="9" t="s">
        <v>16</v>
      </c>
      <c r="C149" s="10" t="str">
        <f>CONCATENATE('Осн.пр.Базы данных'!BB137)</f>
        <v/>
      </c>
      <c r="D149" s="8">
        <f>'Осн.пр.Базы данных'!BC9</f>
        <v>2.75</v>
      </c>
      <c r="E149" s="6">
        <f>'Осн.пр.Базы данных'!BD9</f>
        <v>0</v>
      </c>
      <c r="F149" s="6">
        <f>'Осн.пр.Базы данных'!BE9</f>
        <v>1</v>
      </c>
    </row>
    <row r="150" spans="1:6">
      <c r="A150" s="6">
        <v>10</v>
      </c>
      <c r="B150" s="9" t="s">
        <v>17</v>
      </c>
      <c r="C150" s="10" t="str">
        <f>CONCATENATE('Числ метод'!AI137)</f>
        <v/>
      </c>
      <c r="D150" s="8">
        <f>'Числ метод'!AJ9</f>
        <v>3.125</v>
      </c>
      <c r="E150" s="6">
        <f>'Числ метод'!AK9</f>
        <v>0</v>
      </c>
      <c r="F150" s="6">
        <f>'Числ метод'!AL9</f>
        <v>0</v>
      </c>
    </row>
    <row r="151" spans="1:6">
      <c r="A151" s="6">
        <v>11</v>
      </c>
      <c r="B151" s="9" t="s">
        <v>18</v>
      </c>
      <c r="C151" s="11" t="str">
        <f>CONCATENATE('Комп сеть'!Y137)</f>
        <v/>
      </c>
      <c r="D151" s="12">
        <f>'Комп сеть'!Z9</f>
        <v>4.333333333333333</v>
      </c>
      <c r="E151" s="13">
        <f>'Комп сеть'!AA9</f>
        <v>0</v>
      </c>
      <c r="F151" s="13">
        <f>'Комп сеть'!AB9</f>
        <v>0</v>
      </c>
    </row>
    <row r="152" spans="1:6" ht="30">
      <c r="A152" s="6">
        <v>12</v>
      </c>
      <c r="B152" s="9" t="s">
        <v>19</v>
      </c>
      <c r="C152" s="11" t="str">
        <f>CONCATENATE('Теор.вероят и мат.стат'!BX137)</f>
        <v/>
      </c>
      <c r="D152" s="12">
        <f>'Теор.вероят и мат.стат'!BY9</f>
        <v>2.6666666666666665</v>
      </c>
      <c r="E152" s="13">
        <f>'Теор.вероят и мат.стат'!BZ9</f>
        <v>0</v>
      </c>
      <c r="F152" s="13">
        <f>'Теор.вероят и мат.стат'!CA9</f>
        <v>2</v>
      </c>
    </row>
    <row r="153" spans="1:6">
      <c r="A153" s="6">
        <v>13</v>
      </c>
      <c r="B153" s="9" t="s">
        <v>20</v>
      </c>
      <c r="C153" s="11" t="str">
        <f>CONCATENATE('Дискрет.мат '!BQ137)</f>
        <v/>
      </c>
      <c r="D153" s="12">
        <f>'Дискрет.мат '!BR9</f>
        <v>2</v>
      </c>
      <c r="E153" s="13">
        <f>'Дискрет.мат '!BS9</f>
        <v>0</v>
      </c>
      <c r="F153" s="13">
        <f>'Дискрет.мат '!BT9</f>
        <v>3</v>
      </c>
    </row>
    <row r="154" spans="1:6" ht="30">
      <c r="A154" s="6">
        <v>14</v>
      </c>
      <c r="B154" s="9" t="s">
        <v>21</v>
      </c>
      <c r="C154" s="14" t="str">
        <f>CONCATENATE('Разработка кода ИС'!AO137)</f>
        <v/>
      </c>
      <c r="D154" s="15">
        <f>'Разработка кода ИС'!AP9</f>
        <v>2</v>
      </c>
      <c r="E154" s="16">
        <f>'Разработка кода ИС'!AQ9</f>
        <v>0</v>
      </c>
      <c r="F154" s="16">
        <f>'Разработка кода ИС'!AR9</f>
        <v>1</v>
      </c>
    </row>
    <row r="155" spans="1:6" ht="30">
      <c r="A155" s="6">
        <v>15</v>
      </c>
      <c r="B155" s="9" t="s">
        <v>22</v>
      </c>
      <c r="C155" s="1268"/>
      <c r="D155" s="8" t="str">
        <f>'Внедр.подд.комп.систем'!BC9</f>
        <v>Нет оценок</v>
      </c>
      <c r="E155" s="6">
        <f>'Внедр.подд.комп.систем'!BD9</f>
        <v>0</v>
      </c>
      <c r="F155" s="6">
        <f>'Внедр.подд.комп.систем'!BE9</f>
        <v>0</v>
      </c>
    </row>
    <row r="156" spans="1:6" ht="45">
      <c r="A156" s="6">
        <v>16</v>
      </c>
      <c r="B156" s="9" t="s">
        <v>23</v>
      </c>
      <c r="C156" s="1270"/>
      <c r="D156" s="8">
        <f>'Тестирование ИС'!CA9</f>
        <v>5</v>
      </c>
      <c r="E156" s="6">
        <f>'Тестирование ИС'!CB9</f>
        <v>0</v>
      </c>
      <c r="F156" s="6">
        <f>'Тестирование ИС'!CC9</f>
        <v>0</v>
      </c>
    </row>
    <row r="157" spans="1:6">
      <c r="A157" s="6">
        <v>17</v>
      </c>
      <c r="B157" s="9" t="s">
        <v>24</v>
      </c>
      <c r="C157" s="1270"/>
      <c r="D157" s="8">
        <f>Псих.общ!BW9</f>
        <v>3</v>
      </c>
      <c r="E157" s="6">
        <f>Псих.общ!BX9</f>
        <v>0</v>
      </c>
      <c r="F157" s="6">
        <f>Псих.общ!BY9</f>
        <v>2</v>
      </c>
    </row>
    <row r="158" spans="1:6" ht="30">
      <c r="A158" s="17">
        <v>18</v>
      </c>
      <c r="B158" s="18" t="s">
        <v>25</v>
      </c>
      <c r="C158" s="1270"/>
      <c r="D158" s="19" t="str">
        <f>'Тех.разра.БД'!AA9</f>
        <v>Нет оценок</v>
      </c>
      <c r="E158" s="17">
        <f>'Тех.разра.БД'!AB9</f>
        <v>0</v>
      </c>
      <c r="F158" s="17">
        <f>'Тех.разра.БД'!AC9</f>
        <v>0</v>
      </c>
    </row>
    <row r="159" spans="1:6">
      <c r="A159" s="6">
        <v>19</v>
      </c>
      <c r="B159" s="18" t="s">
        <v>26</v>
      </c>
      <c r="C159" s="13"/>
      <c r="D159" s="19">
        <f>БЖ!AA9</f>
        <v>4.5999999999999996</v>
      </c>
      <c r="E159" s="17">
        <f>БЖ!AB9</f>
        <v>0</v>
      </c>
      <c r="F159" s="17">
        <f>БЖ!AC9</f>
        <v>0</v>
      </c>
    </row>
    <row r="160" spans="1:6" s="5" customFormat="1" ht="30">
      <c r="A160" s="1469" t="s">
        <v>27</v>
      </c>
      <c r="B160" s="1468" t="s">
        <v>634</v>
      </c>
      <c r="C160" s="13">
        <f>'Граф диз и мульт'!Z9</f>
        <v>0</v>
      </c>
      <c r="D160" s="8">
        <f>'Граф диз и мульт'!AA9</f>
        <v>5</v>
      </c>
      <c r="E160" s="6">
        <f>'Граф диз и мульт'!AB9</f>
        <v>0</v>
      </c>
      <c r="F160" s="6">
        <f>'Граф диз и мульт'!AC9</f>
        <v>1</v>
      </c>
    </row>
    <row r="161" spans="1:6" ht="30">
      <c r="A161" s="1469" t="s">
        <v>86</v>
      </c>
      <c r="B161" s="7" t="s">
        <v>28</v>
      </c>
      <c r="C161" s="13"/>
      <c r="D161" s="8">
        <f>'Проектирование и дизайн ИС'!AP9</f>
        <v>4.6363636363636367</v>
      </c>
      <c r="E161" s="6">
        <f>'Проектирование и дизайн ИС'!AQ9</f>
        <v>0</v>
      </c>
      <c r="F161" s="6">
        <f>'Проектирование и дизайн ИС'!AR9</f>
        <v>3</v>
      </c>
    </row>
    <row r="162" spans="1:6" ht="15.75">
      <c r="A162" s="21"/>
      <c r="B162" s="21"/>
      <c r="C162" s="21"/>
      <c r="D162" s="22">
        <f>IFERROR(AVERAGE(D141:D161),"")</f>
        <v>3.5982456140350876</v>
      </c>
      <c r="E162" s="23">
        <f>SUM(E141:E161)</f>
        <v>1</v>
      </c>
      <c r="F162" s="23">
        <f>SUM(F141:F161)</f>
        <v>27</v>
      </c>
    </row>
    <row r="163" spans="1:6" ht="15.75">
      <c r="A163" s="21"/>
      <c r="B163" s="21"/>
      <c r="C163" s="21"/>
      <c r="D163" s="24"/>
      <c r="E163" s="1271" t="s">
        <v>29</v>
      </c>
      <c r="F163" s="1272"/>
    </row>
    <row r="164" spans="1:6" ht="15.75">
      <c r="A164" s="21"/>
      <c r="B164" s="21"/>
      <c r="C164" s="21"/>
      <c r="D164" s="24"/>
      <c r="E164" s="1273">
        <f>SUM(E162:F162)</f>
        <v>28</v>
      </c>
      <c r="F164" s="1274"/>
    </row>
    <row r="165" spans="1:6" ht="15.75">
      <c r="A165" s="1"/>
      <c r="B165" s="1"/>
      <c r="C165" s="1"/>
      <c r="D165" s="1"/>
      <c r="E165" s="1"/>
      <c r="F165" s="1"/>
    </row>
    <row r="166" spans="1:6" ht="15.75">
      <c r="A166" s="1260" t="str">
        <f>Ин.яз!B10</f>
        <v>Говтва Илья Денисович</v>
      </c>
      <c r="B166" s="1261"/>
      <c r="C166" s="1261"/>
      <c r="D166" s="1261"/>
      <c r="E166" s="1261"/>
      <c r="F166" s="1262"/>
    </row>
    <row r="167" spans="1:6">
      <c r="A167" s="1263">
        <f ca="1">TODAY()</f>
        <v>46120</v>
      </c>
      <c r="B167" s="1264"/>
      <c r="C167" s="1264"/>
      <c r="D167" s="1265"/>
      <c r="E167" s="1266" t="s">
        <v>0</v>
      </c>
      <c r="F167" s="1267"/>
    </row>
    <row r="168" spans="1:6" ht="28.5">
      <c r="A168" s="2" t="s">
        <v>1</v>
      </c>
      <c r="B168" s="2" t="s">
        <v>2</v>
      </c>
      <c r="C168" s="3" t="s">
        <v>3</v>
      </c>
      <c r="D168" s="4" t="s">
        <v>4</v>
      </c>
      <c r="E168" s="4" t="s">
        <v>5</v>
      </c>
      <c r="F168" s="4" t="s">
        <v>6</v>
      </c>
    </row>
    <row r="169" spans="1:6" ht="30">
      <c r="A169" s="6">
        <v>1</v>
      </c>
      <c r="B169" s="7" t="s">
        <v>7</v>
      </c>
      <c r="C169" s="1268"/>
      <c r="D169" s="8">
        <f>Ин.яз!AN10</f>
        <v>4.6111111111111107</v>
      </c>
      <c r="E169" s="6">
        <f>Ин.яз!AO10</f>
        <v>0</v>
      </c>
      <c r="F169" s="6">
        <f>Ин.яз!AP10</f>
        <v>0</v>
      </c>
    </row>
    <row r="170" spans="1:6">
      <c r="A170" s="6">
        <v>2</v>
      </c>
      <c r="B170" s="9" t="s">
        <v>8</v>
      </c>
      <c r="C170" s="1269"/>
      <c r="D170" s="8">
        <f>Физ.ра!BL10</f>
        <v>5</v>
      </c>
      <c r="E170" s="6">
        <f>Физ.ра!BM10</f>
        <v>0</v>
      </c>
      <c r="F170" s="6">
        <f>Физ.ра!BN10</f>
        <v>0</v>
      </c>
    </row>
    <row r="171" spans="1:6">
      <c r="A171" s="6">
        <v>3</v>
      </c>
      <c r="B171" s="9" t="s">
        <v>9</v>
      </c>
      <c r="C171" s="10" t="str">
        <f>CONCATENATE(История!AC164)</f>
        <v/>
      </c>
      <c r="D171" s="8">
        <f>История!AD10</f>
        <v>4.333333333333333</v>
      </c>
      <c r="E171" s="6">
        <f>История!AE10</f>
        <v>0</v>
      </c>
      <c r="F171" s="6">
        <f>История!AF10</f>
        <v>0</v>
      </c>
    </row>
    <row r="172" spans="1:6" ht="30">
      <c r="A172" s="6">
        <v>4</v>
      </c>
      <c r="B172" s="9" t="s">
        <v>10</v>
      </c>
      <c r="C172" s="10" t="str">
        <f>CONCATENATE(ПиРИП!AP165)</f>
        <v/>
      </c>
      <c r="D172" s="8">
        <f>ПиРИП!AQ10</f>
        <v>4.92</v>
      </c>
      <c r="E172" s="6">
        <f>ПиРИП!AR10</f>
        <v>0</v>
      </c>
      <c r="F172" s="6">
        <f>ПиРИП!AS10</f>
        <v>0</v>
      </c>
    </row>
    <row r="173" spans="1:6">
      <c r="A173" s="6">
        <v>5</v>
      </c>
      <c r="B173" s="9" t="s">
        <v>11</v>
      </c>
      <c r="C173" s="10" t="str">
        <f>CONCATENATE('Элемент выш мат'!BQ164)</f>
        <v/>
      </c>
      <c r="D173" s="8">
        <f>'Элемент выш мат'!BR10</f>
        <v>4.0555555555555554</v>
      </c>
      <c r="E173" s="6">
        <f>'Элемент выш мат'!BS10</f>
        <v>0</v>
      </c>
      <c r="F173" s="6">
        <f>'Элемент выш мат'!BT10</f>
        <v>0</v>
      </c>
    </row>
    <row r="174" spans="1:6" ht="30">
      <c r="A174" s="6">
        <v>6</v>
      </c>
      <c r="B174" s="9" t="s">
        <v>12</v>
      </c>
      <c r="C174" s="10" t="str">
        <f>CONCATENATE('арх.ап.средств'!AP163)</f>
        <v/>
      </c>
      <c r="D174" s="8">
        <f>'арх.ап.средств'!AQ10</f>
        <v>5</v>
      </c>
      <c r="E174" s="6">
        <f>'арх.ап.средств'!AR10</f>
        <v>0</v>
      </c>
      <c r="F174" s="6">
        <f>'арх.ап.средств'!AS10</f>
        <v>0</v>
      </c>
    </row>
    <row r="175" spans="1:6">
      <c r="A175" s="6">
        <v>7</v>
      </c>
      <c r="B175" s="9" t="s">
        <v>13</v>
      </c>
      <c r="C175" s="10" t="str">
        <f>CONCATENATE('Опер.систем-среды'!AV164)</f>
        <v/>
      </c>
      <c r="D175" s="8">
        <f>'Опер.систем-среды'!AW10</f>
        <v>5</v>
      </c>
      <c r="E175" s="6">
        <f>'Опер.систем-среды'!AX10</f>
        <v>0</v>
      </c>
      <c r="F175" s="6">
        <f>'Опер.систем-среды'!AY10</f>
        <v>1</v>
      </c>
    </row>
    <row r="176" spans="1:6" ht="30">
      <c r="A176" s="6">
        <v>8</v>
      </c>
      <c r="B176" s="9" t="s">
        <v>14</v>
      </c>
      <c r="C176" s="10" t="str">
        <f>CONCATENATE('Основы алгоритмизации'!CC164)</f>
        <v/>
      </c>
      <c r="D176" s="8">
        <f>'Основы алгоритмизации'!CD10</f>
        <v>3.5</v>
      </c>
      <c r="E176" s="6">
        <f>'Основы алгоритмизации'!CE10</f>
        <v>0</v>
      </c>
      <c r="F176" s="6">
        <f>'Основы алгоритмизации'!CF10</f>
        <v>0</v>
      </c>
    </row>
    <row r="177" spans="1:6" ht="30">
      <c r="A177" s="6">
        <v>9</v>
      </c>
      <c r="B177" s="9" t="s">
        <v>16</v>
      </c>
      <c r="C177" s="10" t="str">
        <f>CONCATENATE('Осн.пр.Базы данных'!BB164)</f>
        <v/>
      </c>
      <c r="D177" s="8">
        <f>'Осн.пр.Базы данных'!BC10</f>
        <v>3</v>
      </c>
      <c r="E177" s="6">
        <f>'Осн.пр.Базы данных'!BD10</f>
        <v>0</v>
      </c>
      <c r="F177" s="6">
        <f>'Осн.пр.Базы данных'!BE10</f>
        <v>0</v>
      </c>
    </row>
    <row r="178" spans="1:6">
      <c r="A178" s="6">
        <v>10</v>
      </c>
      <c r="B178" s="9" t="s">
        <v>17</v>
      </c>
      <c r="C178" s="10" t="str">
        <f>CONCATENATE('Числ метод'!AI164)</f>
        <v/>
      </c>
      <c r="D178" s="8">
        <f>'Числ метод'!AJ10</f>
        <v>3.8888888888888888</v>
      </c>
      <c r="E178" s="6">
        <f>'Числ метод'!AK10</f>
        <v>0</v>
      </c>
      <c r="F178" s="6">
        <f>'Числ метод'!AL10</f>
        <v>0</v>
      </c>
    </row>
    <row r="179" spans="1:6">
      <c r="A179" s="6">
        <v>11</v>
      </c>
      <c r="B179" s="9" t="s">
        <v>18</v>
      </c>
      <c r="C179" s="11" t="str">
        <f>CONCATENATE('Комп сеть'!Y164)</f>
        <v/>
      </c>
      <c r="D179" s="12">
        <f>'Комп сеть'!Z10</f>
        <v>4.8888888888888893</v>
      </c>
      <c r="E179" s="13">
        <f>'Комп сеть'!AA10</f>
        <v>0</v>
      </c>
      <c r="F179" s="13">
        <f>'Комп сеть'!AB10</f>
        <v>0</v>
      </c>
    </row>
    <row r="180" spans="1:6" ht="30">
      <c r="A180" s="6">
        <v>12</v>
      </c>
      <c r="B180" s="9" t="s">
        <v>19</v>
      </c>
      <c r="C180" s="11" t="str">
        <f>CONCATENATE('Теор.вероят и мат.стат'!BX164)</f>
        <v/>
      </c>
      <c r="D180" s="12">
        <f>'Теор.вероят и мат.стат'!BY10</f>
        <v>4.333333333333333</v>
      </c>
      <c r="E180" s="13">
        <f>'Теор.вероят и мат.стат'!BZ10</f>
        <v>0</v>
      </c>
      <c r="F180" s="13">
        <f>'Теор.вероят и мат.стат'!CA10</f>
        <v>0</v>
      </c>
    </row>
    <row r="181" spans="1:6">
      <c r="A181" s="6">
        <v>13</v>
      </c>
      <c r="B181" s="9" t="s">
        <v>20</v>
      </c>
      <c r="C181" s="11" t="str">
        <f>CONCATENATE('Дискрет.мат '!BQ164)</f>
        <v/>
      </c>
      <c r="D181" s="12">
        <f>'Дискрет.мат '!BR10</f>
        <v>4.5</v>
      </c>
      <c r="E181" s="13">
        <f>'Дискрет.мат '!BS10</f>
        <v>0</v>
      </c>
      <c r="F181" s="13">
        <f>'Дискрет.мат '!BT10</f>
        <v>0</v>
      </c>
    </row>
    <row r="182" spans="1:6" ht="30">
      <c r="A182" s="6">
        <v>14</v>
      </c>
      <c r="B182" s="9" t="s">
        <v>21</v>
      </c>
      <c r="C182" s="14" t="str">
        <f>CONCATENATE('Разработка кода ИС'!AO164)</f>
        <v/>
      </c>
      <c r="D182" s="15">
        <f>'Разработка кода ИС'!AP10</f>
        <v>5</v>
      </c>
      <c r="E182" s="16">
        <f>'Разработка кода ИС'!AQ10</f>
        <v>0</v>
      </c>
      <c r="F182" s="16">
        <f>'Разработка кода ИС'!AR10</f>
        <v>0</v>
      </c>
    </row>
    <row r="183" spans="1:6" ht="30">
      <c r="A183" s="6">
        <v>15</v>
      </c>
      <c r="B183" s="9" t="s">
        <v>22</v>
      </c>
      <c r="C183" s="1268"/>
      <c r="D183" s="8" t="str">
        <f>'Внедр.подд.комп.систем'!BC10</f>
        <v>Нет оценок</v>
      </c>
      <c r="E183" s="6">
        <f>'Внедр.подд.комп.систем'!BD10</f>
        <v>0</v>
      </c>
      <c r="F183" s="6">
        <f>'Внедр.подд.комп.систем'!BE10</f>
        <v>0</v>
      </c>
    </row>
    <row r="184" spans="1:6" ht="45">
      <c r="A184" s="6">
        <v>16</v>
      </c>
      <c r="B184" s="9" t="s">
        <v>23</v>
      </c>
      <c r="C184" s="1270"/>
      <c r="D184" s="8">
        <f>'Тестирование ИС'!CA10</f>
        <v>5</v>
      </c>
      <c r="E184" s="6">
        <f>'Тестирование ИС'!CB10</f>
        <v>0</v>
      </c>
      <c r="F184" s="6">
        <f>'Тестирование ИС'!CC10</f>
        <v>0</v>
      </c>
    </row>
    <row r="185" spans="1:6">
      <c r="A185" s="6">
        <v>17</v>
      </c>
      <c r="B185" s="9" t="s">
        <v>24</v>
      </c>
      <c r="C185" s="1270"/>
      <c r="D185" s="8">
        <f>Псих.общ!BW10</f>
        <v>4.333333333333333</v>
      </c>
      <c r="E185" s="6">
        <f>Псих.общ!BX10</f>
        <v>0</v>
      </c>
      <c r="F185" s="6">
        <f>Псих.общ!BY10</f>
        <v>0</v>
      </c>
    </row>
    <row r="186" spans="1:6" ht="30">
      <c r="A186" s="17">
        <v>18</v>
      </c>
      <c r="B186" s="18" t="s">
        <v>25</v>
      </c>
      <c r="C186" s="1270"/>
      <c r="D186" s="19" t="str">
        <f>'Тех.разра.БД'!AA10</f>
        <v>Нет оценок</v>
      </c>
      <c r="E186" s="17">
        <f>'Тех.разра.БД'!AB10</f>
        <v>0</v>
      </c>
      <c r="F186" s="17">
        <f>'Тех.разра.БД'!AC10</f>
        <v>0</v>
      </c>
    </row>
    <row r="187" spans="1:6">
      <c r="A187" s="6">
        <v>19</v>
      </c>
      <c r="B187" s="18" t="s">
        <v>26</v>
      </c>
      <c r="C187" s="13"/>
      <c r="D187" s="19">
        <f>БЖ!AA10</f>
        <v>4.3636363636363633</v>
      </c>
      <c r="E187" s="17">
        <f>БЖ!AB10</f>
        <v>0</v>
      </c>
      <c r="F187" s="17">
        <f>БЖ!AC10</f>
        <v>0</v>
      </c>
    </row>
    <row r="188" spans="1:6" s="5" customFormat="1" ht="30">
      <c r="A188" s="1469" t="s">
        <v>27</v>
      </c>
      <c r="B188" s="1468" t="s">
        <v>634</v>
      </c>
      <c r="C188" s="13">
        <f>'Граф диз и мульт'!Z10</f>
        <v>0</v>
      </c>
      <c r="D188" s="8">
        <f>'Граф диз и мульт'!AA10</f>
        <v>5</v>
      </c>
      <c r="E188" s="6">
        <f>'Граф диз и мульт'!AB10</f>
        <v>0</v>
      </c>
      <c r="F188" s="6">
        <f>'Граф диз и мульт'!AC10</f>
        <v>0</v>
      </c>
    </row>
    <row r="189" spans="1:6" ht="30">
      <c r="A189" s="1469" t="s">
        <v>86</v>
      </c>
      <c r="B189" s="7" t="s">
        <v>28</v>
      </c>
      <c r="C189" s="13"/>
      <c r="D189" s="8">
        <f>'Проектирование и дизайн ИС'!AP10</f>
        <v>4.9285714285714288</v>
      </c>
      <c r="E189" s="6">
        <f>'Проектирование и дизайн ИС'!AQ10</f>
        <v>0</v>
      </c>
      <c r="F189" s="6">
        <f>'Проектирование и дизайн ИС'!AR10</f>
        <v>0</v>
      </c>
    </row>
    <row r="190" spans="1:6" ht="15.75">
      <c r="A190" s="21"/>
      <c r="B190" s="21"/>
      <c r="C190" s="21"/>
      <c r="D190" s="22">
        <f>IFERROR(AVERAGE(D169:D189),"")</f>
        <v>4.5082448545606431</v>
      </c>
      <c r="E190" s="23">
        <f>SUM(E169:E189)</f>
        <v>0</v>
      </c>
      <c r="F190" s="23">
        <f>SUM(F169:F189)</f>
        <v>1</v>
      </c>
    </row>
    <row r="191" spans="1:6" ht="15.75">
      <c r="A191" s="21"/>
      <c r="B191" s="21"/>
      <c r="C191" s="21"/>
      <c r="D191" s="24"/>
      <c r="E191" s="1271" t="s">
        <v>29</v>
      </c>
      <c r="F191" s="1272"/>
    </row>
    <row r="192" spans="1:6" ht="15.75">
      <c r="A192" s="21"/>
      <c r="B192" s="21"/>
      <c r="C192" s="21"/>
      <c r="D192" s="24"/>
      <c r="E192" s="1273">
        <f>SUM(E190:F190)</f>
        <v>1</v>
      </c>
      <c r="F192" s="1274"/>
    </row>
    <row r="193" spans="1:6" ht="15.75">
      <c r="A193" s="1"/>
      <c r="B193" s="1"/>
      <c r="C193" s="1"/>
      <c r="D193" s="1"/>
      <c r="E193" s="1"/>
      <c r="F193" s="1"/>
    </row>
    <row r="194" spans="1:6" ht="15.75">
      <c r="A194" s="1260" t="str">
        <f>Ин.яз!B11</f>
        <v>Горшков Владислав Васильевич</v>
      </c>
      <c r="B194" s="1261"/>
      <c r="C194" s="1261"/>
      <c r="D194" s="1261"/>
      <c r="E194" s="1261"/>
      <c r="F194" s="1262"/>
    </row>
    <row r="195" spans="1:6" ht="15.75" customHeight="1">
      <c r="A195" s="1263">
        <f ca="1">TODAY()</f>
        <v>46120</v>
      </c>
      <c r="B195" s="1264"/>
      <c r="C195" s="1264"/>
      <c r="D195" s="1265"/>
      <c r="E195" s="1266" t="s">
        <v>0</v>
      </c>
      <c r="F195" s="1267"/>
    </row>
    <row r="196" spans="1:6" ht="30.75" customHeight="1">
      <c r="A196" s="2" t="s">
        <v>1</v>
      </c>
      <c r="B196" s="2" t="s">
        <v>2</v>
      </c>
      <c r="C196" s="3" t="s">
        <v>3</v>
      </c>
      <c r="D196" s="4" t="s">
        <v>4</v>
      </c>
      <c r="E196" s="4" t="s">
        <v>5</v>
      </c>
      <c r="F196" s="4" t="s">
        <v>6</v>
      </c>
    </row>
    <row r="197" spans="1:6" ht="28.5" customHeight="1">
      <c r="A197" s="6">
        <v>1</v>
      </c>
      <c r="B197" s="7" t="s">
        <v>7</v>
      </c>
      <c r="C197" s="1268"/>
      <c r="D197" s="8">
        <f>Ин.яз!AN11</f>
        <v>3.5714285714285716</v>
      </c>
      <c r="E197" s="6">
        <f>Ин.яз!AO11</f>
        <v>0</v>
      </c>
      <c r="F197" s="6">
        <f>Ин.яз!AP11</f>
        <v>1</v>
      </c>
    </row>
    <row r="198" spans="1:6" ht="16.5" customHeight="1">
      <c r="A198" s="6">
        <v>2</v>
      </c>
      <c r="B198" s="9" t="s">
        <v>8</v>
      </c>
      <c r="C198" s="1269"/>
      <c r="D198" s="8">
        <f>Физ.ра!BL11</f>
        <v>5</v>
      </c>
      <c r="E198" s="6">
        <f>Физ.ра!BM11</f>
        <v>1</v>
      </c>
      <c r="F198" s="6">
        <f>Физ.ра!BN11</f>
        <v>2</v>
      </c>
    </row>
    <row r="199" spans="1:6" ht="15.75" customHeight="1">
      <c r="A199" s="6">
        <v>3</v>
      </c>
      <c r="B199" s="9" t="s">
        <v>9</v>
      </c>
      <c r="C199" s="10" t="str">
        <f>CONCATENATE(История!AC191)</f>
        <v/>
      </c>
      <c r="D199" s="8">
        <f>История!AD11</f>
        <v>4.5</v>
      </c>
      <c r="E199" s="6">
        <f>История!AE11</f>
        <v>0</v>
      </c>
      <c r="F199" s="6">
        <f>История!AF11</f>
        <v>0</v>
      </c>
    </row>
    <row r="200" spans="1:6" ht="27.75" customHeight="1">
      <c r="A200" s="6">
        <v>4</v>
      </c>
      <c r="B200" s="9" t="s">
        <v>10</v>
      </c>
      <c r="C200" s="10" t="str">
        <f>CONCATENATE(ПиРИП!AP192)</f>
        <v/>
      </c>
      <c r="D200" s="8">
        <f>ПиРИП!AQ11</f>
        <v>3.5714285714285716</v>
      </c>
      <c r="E200" s="6">
        <f>ПиРИП!AR11</f>
        <v>0</v>
      </c>
      <c r="F200" s="6">
        <f>ПиРИП!AS11</f>
        <v>4</v>
      </c>
    </row>
    <row r="201" spans="1:6" ht="15.75" customHeight="1">
      <c r="A201" s="6">
        <v>5</v>
      </c>
      <c r="B201" s="9" t="s">
        <v>11</v>
      </c>
      <c r="C201" s="10" t="str">
        <f>CONCATENATE('Элемент выш мат'!BQ191)</f>
        <v/>
      </c>
      <c r="D201" s="8">
        <f>'Элемент выш мат'!BR11</f>
        <v>3.6363636363636362</v>
      </c>
      <c r="E201" s="6">
        <f>'Элемент выш мат'!BS11</f>
        <v>3</v>
      </c>
      <c r="F201" s="6">
        <f>'Элемент выш мат'!BT11</f>
        <v>2</v>
      </c>
    </row>
    <row r="202" spans="1:6" ht="17.25" customHeight="1">
      <c r="A202" s="6">
        <v>6</v>
      </c>
      <c r="B202" s="9" t="s">
        <v>12</v>
      </c>
      <c r="C202" s="10" t="str">
        <f>CONCATENATE('арх.ап.средств'!AP190)</f>
        <v/>
      </c>
      <c r="D202" s="8">
        <f>'арх.ап.средств'!AQ11</f>
        <v>3.2222222222222223</v>
      </c>
      <c r="E202" s="6">
        <f>'арх.ап.средств'!AR11</f>
        <v>9</v>
      </c>
      <c r="F202" s="6">
        <f>'арх.ап.средств'!AS11</f>
        <v>0</v>
      </c>
    </row>
    <row r="203" spans="1:6" ht="18" customHeight="1">
      <c r="A203" s="6">
        <v>7</v>
      </c>
      <c r="B203" s="9" t="s">
        <v>13</v>
      </c>
      <c r="C203" s="10" t="str">
        <f>CONCATENATE('Опер.систем-среды'!AV191)</f>
        <v/>
      </c>
      <c r="D203" s="8">
        <f>'Опер.систем-среды'!AW11</f>
        <v>3</v>
      </c>
      <c r="E203" s="6">
        <f>'Опер.систем-среды'!AX11</f>
        <v>0</v>
      </c>
      <c r="F203" s="6">
        <f>'Опер.систем-среды'!AY11</f>
        <v>5</v>
      </c>
    </row>
    <row r="204" spans="1:6" ht="24.75" customHeight="1">
      <c r="A204" s="6">
        <v>8</v>
      </c>
      <c r="B204" s="9" t="s">
        <v>14</v>
      </c>
      <c r="C204" s="10" t="str">
        <f>CONCATENATE('Основы алгоритмизации'!CC191)</f>
        <v/>
      </c>
      <c r="D204" s="8">
        <f>'Основы алгоритмизации'!CD11</f>
        <v>2.9</v>
      </c>
      <c r="E204" s="6">
        <f>'Основы алгоритмизации'!CE11</f>
        <v>2</v>
      </c>
      <c r="F204" s="6">
        <f>'Основы алгоритмизации'!CF11</f>
        <v>2</v>
      </c>
    </row>
    <row r="205" spans="1:6" ht="25.5" customHeight="1">
      <c r="A205" s="6">
        <v>9</v>
      </c>
      <c r="B205" s="9" t="s">
        <v>16</v>
      </c>
      <c r="C205" s="10" t="str">
        <f>CONCATENATE('Осн.пр.Базы данных'!BB191)</f>
        <v/>
      </c>
      <c r="D205" s="8">
        <f>'Осн.пр.Базы данных'!BC11</f>
        <v>2.8</v>
      </c>
      <c r="E205" s="6">
        <f>'Осн.пр.Базы данных'!BD11</f>
        <v>0</v>
      </c>
      <c r="F205" s="6">
        <f>'Осн.пр.Базы данных'!BE11</f>
        <v>0</v>
      </c>
    </row>
    <row r="206" spans="1:6" ht="15.75" customHeight="1">
      <c r="A206" s="6">
        <v>10</v>
      </c>
      <c r="B206" s="9" t="s">
        <v>17</v>
      </c>
      <c r="C206" s="10" t="str">
        <f>CONCATENATE('Числ метод'!AI191)</f>
        <v/>
      </c>
      <c r="D206" s="8">
        <f>'Числ метод'!AJ11</f>
        <v>3</v>
      </c>
      <c r="E206" s="6">
        <f>'Числ метод'!AK11</f>
        <v>0</v>
      </c>
      <c r="F206" s="6">
        <f>'Числ метод'!AL11</f>
        <v>0</v>
      </c>
    </row>
    <row r="207" spans="1:6" ht="15.75" customHeight="1">
      <c r="A207" s="6">
        <v>11</v>
      </c>
      <c r="B207" s="9" t="s">
        <v>18</v>
      </c>
      <c r="C207" s="11" t="str">
        <f>CONCATENATE('Комп сеть'!Y191)</f>
        <v/>
      </c>
      <c r="D207" s="12">
        <f>'Комп сеть'!Z11</f>
        <v>4.3529411764705879</v>
      </c>
      <c r="E207" s="13">
        <f>'Комп сеть'!AA11</f>
        <v>0</v>
      </c>
      <c r="F207" s="13">
        <f>'Комп сеть'!AB11</f>
        <v>0</v>
      </c>
    </row>
    <row r="208" spans="1:6" ht="27.75" customHeight="1">
      <c r="A208" s="6">
        <v>12</v>
      </c>
      <c r="B208" s="9" t="s">
        <v>19</v>
      </c>
      <c r="C208" s="11" t="str">
        <f>CONCATENATE('Теор.вероят и мат.стат'!BX191)</f>
        <v/>
      </c>
      <c r="D208" s="12">
        <f>'Теор.вероят и мат.стат'!BY11</f>
        <v>3.8</v>
      </c>
      <c r="E208" s="13">
        <f>'Теор.вероят и мат.стат'!BZ11</f>
        <v>0</v>
      </c>
      <c r="F208" s="13">
        <f>'Теор.вероят и мат.стат'!CA11</f>
        <v>1</v>
      </c>
    </row>
    <row r="209" spans="1:6" ht="15.75" customHeight="1">
      <c r="A209" s="6">
        <v>13</v>
      </c>
      <c r="B209" s="9" t="s">
        <v>20</v>
      </c>
      <c r="C209" s="11" t="str">
        <f>CONCATENATE('Дискрет.мат '!BQ191)</f>
        <v/>
      </c>
      <c r="D209" s="12">
        <f>'Дискрет.мат '!BR11</f>
        <v>3.3333333333333335</v>
      </c>
      <c r="E209" s="13">
        <f>'Дискрет.мат '!BS11</f>
        <v>0</v>
      </c>
      <c r="F209" s="13">
        <f>'Дискрет.мат '!BT11</f>
        <v>1</v>
      </c>
    </row>
    <row r="210" spans="1:6" ht="16.5" customHeight="1">
      <c r="A210" s="6">
        <v>14</v>
      </c>
      <c r="B210" s="9" t="s">
        <v>21</v>
      </c>
      <c r="C210" s="14" t="str">
        <f>CONCATENATE('Разработка кода ИС'!AO191)</f>
        <v/>
      </c>
      <c r="D210" s="15">
        <f>'Разработка кода ИС'!AP11</f>
        <v>2</v>
      </c>
      <c r="E210" s="16">
        <f>'Разработка кода ИС'!AQ11</f>
        <v>0</v>
      </c>
      <c r="F210" s="16">
        <f>'Разработка кода ИС'!AR11</f>
        <v>2</v>
      </c>
    </row>
    <row r="211" spans="1:6" ht="27.75" customHeight="1">
      <c r="A211" s="6">
        <v>15</v>
      </c>
      <c r="B211" s="9" t="s">
        <v>22</v>
      </c>
      <c r="C211" s="1268"/>
      <c r="D211" s="8" t="str">
        <f>'Внедр.подд.комп.систем'!BC11</f>
        <v>Нет оценок</v>
      </c>
      <c r="E211" s="6">
        <f>'Внедр.подд.комп.систем'!BD11</f>
        <v>0</v>
      </c>
      <c r="F211" s="6">
        <f>'Внедр.подд.комп.систем'!BE11</f>
        <v>0</v>
      </c>
    </row>
    <row r="212" spans="1:6" ht="43.5" customHeight="1">
      <c r="A212" s="6">
        <v>16</v>
      </c>
      <c r="B212" s="9" t="s">
        <v>23</v>
      </c>
      <c r="C212" s="1270"/>
      <c r="D212" s="8">
        <f>'Тестирование ИС'!CA11</f>
        <v>5</v>
      </c>
      <c r="E212" s="6">
        <f>'Тестирование ИС'!CB11</f>
        <v>0</v>
      </c>
      <c r="F212" s="6">
        <f>'Тестирование ИС'!CC11</f>
        <v>1</v>
      </c>
    </row>
    <row r="213" spans="1:6" ht="15.75" customHeight="1">
      <c r="A213" s="6">
        <v>17</v>
      </c>
      <c r="B213" s="9" t="s">
        <v>24</v>
      </c>
      <c r="C213" s="1270"/>
      <c r="D213" s="8">
        <f>Псих.общ!BW11</f>
        <v>4</v>
      </c>
      <c r="E213" s="6">
        <f>Псих.общ!BX11</f>
        <v>0</v>
      </c>
      <c r="F213" s="6">
        <f>Псих.общ!BY11</f>
        <v>1</v>
      </c>
    </row>
    <row r="214" spans="1:6" ht="27.75" customHeight="1">
      <c r="A214" s="17">
        <v>18</v>
      </c>
      <c r="B214" s="18" t="s">
        <v>25</v>
      </c>
      <c r="C214" s="1270"/>
      <c r="D214" s="19" t="str">
        <f>'Тех.разра.БД'!AA11</f>
        <v>Нет оценок</v>
      </c>
      <c r="E214" s="17">
        <f>'Тех.разра.БД'!AB11</f>
        <v>0</v>
      </c>
      <c r="F214" s="17">
        <f>'Тех.разра.БД'!AC11</f>
        <v>0</v>
      </c>
    </row>
    <row r="215" spans="1:6" ht="16.5" customHeight="1">
      <c r="A215" s="6">
        <v>19</v>
      </c>
      <c r="B215" s="18" t="s">
        <v>26</v>
      </c>
      <c r="C215" s="13"/>
      <c r="D215" s="19">
        <f>БЖ!AA11</f>
        <v>3</v>
      </c>
      <c r="E215" s="17">
        <f>БЖ!AB11</f>
        <v>0</v>
      </c>
      <c r="F215" s="17">
        <f>БЖ!AC11</f>
        <v>0</v>
      </c>
    </row>
    <row r="216" spans="1:6" s="5" customFormat="1" ht="30">
      <c r="A216" s="1469" t="s">
        <v>27</v>
      </c>
      <c r="B216" s="1468" t="s">
        <v>634</v>
      </c>
      <c r="C216" s="13">
        <f>'Граф диз и мульт'!Z11</f>
        <v>0</v>
      </c>
      <c r="D216" s="8">
        <f>'Граф диз и мульт'!AA11</f>
        <v>4.8571428571428568</v>
      </c>
      <c r="E216" s="6">
        <f>'Граф диз и мульт'!AB11</f>
        <v>0</v>
      </c>
      <c r="F216" s="6">
        <f>'Граф диз и мульт'!AC11</f>
        <v>0</v>
      </c>
    </row>
    <row r="217" spans="1:6" ht="27.75" customHeight="1">
      <c r="A217" s="1469" t="s">
        <v>86</v>
      </c>
      <c r="B217" s="7" t="s">
        <v>28</v>
      </c>
      <c r="C217" s="13"/>
      <c r="D217" s="8">
        <f>'Проектирование и дизайн ИС'!AP11</f>
        <v>4</v>
      </c>
      <c r="E217" s="6">
        <f>'Проектирование и дизайн ИС'!AQ11</f>
        <v>1</v>
      </c>
      <c r="F217" s="6">
        <f>'Проектирование и дизайн ИС'!AR11</f>
        <v>3</v>
      </c>
    </row>
    <row r="218" spans="1:6" ht="15.75" customHeight="1">
      <c r="A218" s="21"/>
      <c r="B218" s="21"/>
      <c r="C218" s="21"/>
      <c r="D218" s="22">
        <f>IFERROR(AVERAGE(D197:D217),"")</f>
        <v>3.6602558088626198</v>
      </c>
      <c r="E218" s="23">
        <f>SUM(E197:E217)</f>
        <v>16</v>
      </c>
      <c r="F218" s="23">
        <f>SUM(F197:F217)</f>
        <v>25</v>
      </c>
    </row>
    <row r="219" spans="1:6" ht="15.75" customHeight="1">
      <c r="A219" s="21"/>
      <c r="B219" s="21"/>
      <c r="C219" s="21"/>
      <c r="D219" s="24"/>
      <c r="E219" s="1271" t="s">
        <v>29</v>
      </c>
      <c r="F219" s="1272"/>
    </row>
    <row r="220" spans="1:6" ht="15.75">
      <c r="A220" s="21"/>
      <c r="B220" s="21"/>
      <c r="C220" s="21"/>
      <c r="D220" s="24"/>
      <c r="E220" s="1273">
        <f>SUM(E218:F218)</f>
        <v>41</v>
      </c>
      <c r="F220" s="1274"/>
    </row>
    <row r="221" spans="1:6" ht="15.75">
      <c r="A221" s="1"/>
      <c r="B221" s="1"/>
      <c r="C221" s="1"/>
      <c r="D221" s="1"/>
      <c r="E221" s="1"/>
      <c r="F221" s="1"/>
    </row>
    <row r="222" spans="1:6" ht="15.75">
      <c r="A222" s="1260" t="str">
        <f>Ин.яз!B12</f>
        <v>Гришко Илья Алексеевич</v>
      </c>
      <c r="B222" s="1261"/>
      <c r="C222" s="1261"/>
      <c r="D222" s="1261"/>
      <c r="E222" s="1261"/>
      <c r="F222" s="1262"/>
    </row>
    <row r="223" spans="1:6">
      <c r="A223" s="1263">
        <f ca="1">TODAY()</f>
        <v>46120</v>
      </c>
      <c r="B223" s="1264"/>
      <c r="C223" s="1264"/>
      <c r="D223" s="1265"/>
      <c r="E223" s="1266" t="s">
        <v>0</v>
      </c>
      <c r="F223" s="1267"/>
    </row>
    <row r="224" spans="1:6" ht="28.5">
      <c r="A224" s="2" t="s">
        <v>1</v>
      </c>
      <c r="B224" s="2" t="s">
        <v>2</v>
      </c>
      <c r="C224" s="3" t="s">
        <v>3</v>
      </c>
      <c r="D224" s="4" t="s">
        <v>4</v>
      </c>
      <c r="E224" s="4" t="s">
        <v>5</v>
      </c>
      <c r="F224" s="4" t="s">
        <v>6</v>
      </c>
    </row>
    <row r="225" spans="1:6" ht="30">
      <c r="A225" s="6">
        <v>1</v>
      </c>
      <c r="B225" s="7" t="s">
        <v>7</v>
      </c>
      <c r="C225" s="1268"/>
      <c r="D225" s="8">
        <f>Ин.яз!AN12</f>
        <v>3.1</v>
      </c>
      <c r="E225" s="6">
        <f>Ин.яз!AO12</f>
        <v>0</v>
      </c>
      <c r="F225" s="6">
        <f>Ин.яз!AP12</f>
        <v>3</v>
      </c>
    </row>
    <row r="226" spans="1:6">
      <c r="A226" s="6">
        <v>2</v>
      </c>
      <c r="B226" s="9" t="s">
        <v>8</v>
      </c>
      <c r="C226" s="1269"/>
      <c r="D226" s="8">
        <f>Физ.ра!BL12</f>
        <v>4.5</v>
      </c>
      <c r="E226" s="6">
        <f>Физ.ра!BM12</f>
        <v>0</v>
      </c>
      <c r="F226" s="6">
        <f>Физ.ра!BN12</f>
        <v>2</v>
      </c>
    </row>
    <row r="227" spans="1:6">
      <c r="A227" s="6">
        <v>3</v>
      </c>
      <c r="B227" s="9" t="s">
        <v>9</v>
      </c>
      <c r="C227" s="10" t="str">
        <f>CONCATENATE(История!AC218)</f>
        <v/>
      </c>
      <c r="D227" s="8">
        <f>История!AD12</f>
        <v>3</v>
      </c>
      <c r="E227" s="6">
        <f>История!AE12</f>
        <v>0</v>
      </c>
      <c r="F227" s="6">
        <f>История!AF12</f>
        <v>0</v>
      </c>
    </row>
    <row r="228" spans="1:6" ht="30">
      <c r="A228" s="6">
        <v>4</v>
      </c>
      <c r="B228" s="9" t="s">
        <v>10</v>
      </c>
      <c r="C228" s="10" t="str">
        <f>CONCATENATE(ПиРИП!AP219)</f>
        <v/>
      </c>
      <c r="D228" s="8">
        <f>ПиРИП!AQ12</f>
        <v>3.3</v>
      </c>
      <c r="E228" s="6">
        <f>ПиРИП!AR12</f>
        <v>0</v>
      </c>
      <c r="F228" s="6">
        <f>ПиРИП!AS12</f>
        <v>0</v>
      </c>
    </row>
    <row r="229" spans="1:6">
      <c r="A229" s="6">
        <v>5</v>
      </c>
      <c r="B229" s="9" t="s">
        <v>11</v>
      </c>
      <c r="C229" s="10" t="str">
        <f>CONCATENATE('Элемент выш мат'!BQ218)</f>
        <v/>
      </c>
      <c r="D229" s="8">
        <f>'Элемент выш мат'!BR12</f>
        <v>3.0909090909090908</v>
      </c>
      <c r="E229" s="6">
        <f>'Элемент выш мат'!BS12</f>
        <v>0</v>
      </c>
      <c r="F229" s="6">
        <f>'Элемент выш мат'!BT12</f>
        <v>4</v>
      </c>
    </row>
    <row r="230" spans="1:6" ht="30">
      <c r="A230" s="6">
        <v>6</v>
      </c>
      <c r="B230" s="9" t="s">
        <v>12</v>
      </c>
      <c r="C230" s="10" t="str">
        <f>CONCATENATE('арх.ап.средств'!AP217)</f>
        <v/>
      </c>
      <c r="D230" s="8">
        <f>'арх.ап.средств'!AQ12</f>
        <v>4.7333333333333334</v>
      </c>
      <c r="E230" s="6">
        <f>'арх.ап.средств'!AR12</f>
        <v>0</v>
      </c>
      <c r="F230" s="6">
        <f>'арх.ап.средств'!AS12</f>
        <v>0</v>
      </c>
    </row>
    <row r="231" spans="1:6">
      <c r="A231" s="6">
        <v>7</v>
      </c>
      <c r="B231" s="9" t="s">
        <v>13</v>
      </c>
      <c r="C231" s="10" t="str">
        <f>CONCATENATE('Опер.систем-среды'!AV218)</f>
        <v/>
      </c>
      <c r="D231" s="8">
        <f>'Опер.систем-среды'!AW12</f>
        <v>3.5</v>
      </c>
      <c r="E231" s="6">
        <f>'Опер.систем-среды'!AX12</f>
        <v>0</v>
      </c>
      <c r="F231" s="6">
        <f>'Опер.систем-среды'!AY12</f>
        <v>3</v>
      </c>
    </row>
    <row r="232" spans="1:6" ht="30">
      <c r="A232" s="6">
        <v>8</v>
      </c>
      <c r="B232" s="9" t="s">
        <v>14</v>
      </c>
      <c r="C232" s="10" t="str">
        <f>CONCATENATE('Основы алгоритмизации'!CC218)</f>
        <v/>
      </c>
      <c r="D232" s="8">
        <f>'Основы алгоритмизации'!CD12</f>
        <v>2.625</v>
      </c>
      <c r="E232" s="6">
        <f>'Основы алгоритмизации'!CE12</f>
        <v>0</v>
      </c>
      <c r="F232" s="6">
        <f>'Основы алгоритмизации'!CF12</f>
        <v>4</v>
      </c>
    </row>
    <row r="233" spans="1:6" ht="30">
      <c r="A233" s="6">
        <v>9</v>
      </c>
      <c r="B233" s="9" t="s">
        <v>16</v>
      </c>
      <c r="C233" s="10" t="str">
        <f>CONCATENATE('Осн.пр.Базы данных'!BB218)</f>
        <v/>
      </c>
      <c r="D233" s="8">
        <f>'Осн.пр.Базы данных'!BC12</f>
        <v>3</v>
      </c>
      <c r="E233" s="6">
        <f>'Осн.пр.Базы данных'!BD12</f>
        <v>0</v>
      </c>
      <c r="F233" s="6">
        <f>'Осн.пр.Базы данных'!BE12</f>
        <v>2</v>
      </c>
    </row>
    <row r="234" spans="1:6">
      <c r="A234" s="6">
        <v>10</v>
      </c>
      <c r="B234" s="9" t="s">
        <v>17</v>
      </c>
      <c r="C234" s="10" t="str">
        <f>CONCATENATE('Числ метод'!AI218)</f>
        <v/>
      </c>
      <c r="D234" s="8">
        <f>'Числ метод'!AJ12</f>
        <v>3.125</v>
      </c>
      <c r="E234" s="6">
        <f>'Числ метод'!AK12</f>
        <v>0</v>
      </c>
      <c r="F234" s="6">
        <f>'Числ метод'!AL12</f>
        <v>0</v>
      </c>
    </row>
    <row r="235" spans="1:6">
      <c r="A235" s="6">
        <v>11</v>
      </c>
      <c r="B235" s="9" t="s">
        <v>18</v>
      </c>
      <c r="C235" s="11" t="str">
        <f>CONCATENATE('Комп сеть'!Y218)</f>
        <v/>
      </c>
      <c r="D235" s="12">
        <f>'Комп сеть'!Z12</f>
        <v>3.875</v>
      </c>
      <c r="E235" s="13">
        <f>'Комп сеть'!AA12</f>
        <v>0</v>
      </c>
      <c r="F235" s="13">
        <f>'Комп сеть'!AB12</f>
        <v>0</v>
      </c>
    </row>
    <row r="236" spans="1:6" ht="30">
      <c r="A236" s="6">
        <v>12</v>
      </c>
      <c r="B236" s="9" t="s">
        <v>19</v>
      </c>
      <c r="C236" s="11" t="str">
        <f>CONCATENATE('Теор.вероят и мат.стат'!BX218)</f>
        <v/>
      </c>
      <c r="D236" s="12">
        <f>'Теор.вероят и мат.стат'!BY12</f>
        <v>2.3333333333333335</v>
      </c>
      <c r="E236" s="13">
        <f>'Теор.вероят и мат.стат'!BZ12</f>
        <v>0</v>
      </c>
      <c r="F236" s="13">
        <f>'Теор.вероят и мат.стат'!CA12</f>
        <v>2</v>
      </c>
    </row>
    <row r="237" spans="1:6">
      <c r="A237" s="6">
        <v>13</v>
      </c>
      <c r="B237" s="9" t="s">
        <v>20</v>
      </c>
      <c r="C237" s="11" t="str">
        <f>CONCATENATE('Дискрет.мат '!BQ218)</f>
        <v/>
      </c>
      <c r="D237" s="12">
        <f>'Дискрет.мат '!BR12</f>
        <v>3.5</v>
      </c>
      <c r="E237" s="13">
        <f>'Дискрет.мат '!BS12</f>
        <v>0</v>
      </c>
      <c r="F237" s="13">
        <f>'Дискрет.мат '!BT12</f>
        <v>1</v>
      </c>
    </row>
    <row r="238" spans="1:6" ht="30">
      <c r="A238" s="6">
        <v>14</v>
      </c>
      <c r="B238" s="9" t="s">
        <v>21</v>
      </c>
      <c r="C238" s="14" t="str">
        <f>CONCATENATE('Разработка кода ИС'!AO218)</f>
        <v/>
      </c>
      <c r="D238" s="15">
        <f>'Разработка кода ИС'!AP12</f>
        <v>2</v>
      </c>
      <c r="E238" s="16">
        <f>'Разработка кода ИС'!AQ12</f>
        <v>0</v>
      </c>
      <c r="F238" s="16">
        <f>'Разработка кода ИС'!AR12</f>
        <v>0</v>
      </c>
    </row>
    <row r="239" spans="1:6" ht="30">
      <c r="A239" s="6">
        <v>15</v>
      </c>
      <c r="B239" s="9" t="s">
        <v>22</v>
      </c>
      <c r="C239" s="1268"/>
      <c r="D239" s="8" t="str">
        <f>'Внедр.подд.комп.систем'!BC12</f>
        <v>Нет оценок</v>
      </c>
      <c r="E239" s="6">
        <f>'Внедр.подд.комп.систем'!BD12</f>
        <v>0</v>
      </c>
      <c r="F239" s="6">
        <f>'Внедр.подд.комп.систем'!BE12</f>
        <v>0</v>
      </c>
    </row>
    <row r="240" spans="1:6" ht="45">
      <c r="A240" s="6">
        <v>16</v>
      </c>
      <c r="B240" s="9" t="s">
        <v>23</v>
      </c>
      <c r="C240" s="1270"/>
      <c r="D240" s="8">
        <f>'Тестирование ИС'!CA12</f>
        <v>5</v>
      </c>
      <c r="E240" s="6">
        <f>'Тестирование ИС'!CB12</f>
        <v>0</v>
      </c>
      <c r="F240" s="6">
        <f>'Тестирование ИС'!CC12</f>
        <v>2</v>
      </c>
    </row>
    <row r="241" spans="1:6">
      <c r="A241" s="6">
        <v>17</v>
      </c>
      <c r="B241" s="9" t="s">
        <v>24</v>
      </c>
      <c r="C241" s="1270"/>
      <c r="D241" s="8">
        <f>Псих.общ!BW12</f>
        <v>3.6666666666666665</v>
      </c>
      <c r="E241" s="6">
        <f>Псих.общ!BX12</f>
        <v>0</v>
      </c>
      <c r="F241" s="6">
        <f>Псих.общ!BY12</f>
        <v>0</v>
      </c>
    </row>
    <row r="242" spans="1:6" ht="30">
      <c r="A242" s="17">
        <v>18</v>
      </c>
      <c r="B242" s="18" t="s">
        <v>25</v>
      </c>
      <c r="C242" s="1270"/>
      <c r="D242" s="19" t="str">
        <f>'Тех.разра.БД'!AA12</f>
        <v>Нет оценок</v>
      </c>
      <c r="E242" s="17">
        <f>'Тех.разра.БД'!AB12</f>
        <v>0</v>
      </c>
      <c r="F242" s="17">
        <f>'Тех.разра.БД'!AC12</f>
        <v>0</v>
      </c>
    </row>
    <row r="243" spans="1:6">
      <c r="A243" s="6">
        <v>19</v>
      </c>
      <c r="B243" s="18" t="s">
        <v>26</v>
      </c>
      <c r="C243" s="13"/>
      <c r="D243" s="19">
        <f>БЖ!AA12</f>
        <v>3.5833333333333335</v>
      </c>
      <c r="E243" s="17">
        <f>БЖ!AB12</f>
        <v>0</v>
      </c>
      <c r="F243" s="17">
        <f>БЖ!AC12</f>
        <v>0</v>
      </c>
    </row>
    <row r="244" spans="1:6" s="5" customFormat="1" ht="30">
      <c r="A244" s="1469" t="s">
        <v>27</v>
      </c>
      <c r="B244" s="1468" t="s">
        <v>634</v>
      </c>
      <c r="C244" s="13">
        <f>'Граф диз и мульт'!Z12</f>
        <v>0</v>
      </c>
      <c r="D244" s="8">
        <f>'Граф диз и мульт'!AA12</f>
        <v>4.8</v>
      </c>
      <c r="E244" s="6">
        <f>'Граф диз и мульт'!AB12</f>
        <v>0</v>
      </c>
      <c r="F244" s="6">
        <f>'Граф диз и мульт'!AC12</f>
        <v>1</v>
      </c>
    </row>
    <row r="245" spans="1:6" ht="30">
      <c r="A245" s="1469" t="s">
        <v>86</v>
      </c>
      <c r="B245" s="7" t="s">
        <v>28</v>
      </c>
      <c r="C245" s="13"/>
      <c r="D245" s="8">
        <f>'Проектирование и дизайн ИС'!AP12</f>
        <v>4.5714285714285712</v>
      </c>
      <c r="E245" s="6">
        <f>'Проектирование и дизайн ИС'!AQ12</f>
        <v>0</v>
      </c>
      <c r="F245" s="6">
        <f>'Проектирование и дизайн ИС'!AR12</f>
        <v>7</v>
      </c>
    </row>
    <row r="246" spans="1:6" ht="15.75">
      <c r="A246" s="21"/>
      <c r="B246" s="21"/>
      <c r="C246" s="21"/>
      <c r="D246" s="22">
        <f>IFERROR(AVERAGE(D225:D245),"")</f>
        <v>3.5423160173160171</v>
      </c>
      <c r="E246" s="23">
        <f>SUM(E225:E245)</f>
        <v>0</v>
      </c>
      <c r="F246" s="23">
        <f>SUM(F225:F245)</f>
        <v>31</v>
      </c>
    </row>
    <row r="247" spans="1:6" ht="15.75">
      <c r="A247" s="21"/>
      <c r="B247" s="21"/>
      <c r="C247" s="21"/>
      <c r="D247" s="24"/>
      <c r="E247" s="1271" t="s">
        <v>29</v>
      </c>
      <c r="F247" s="1272"/>
    </row>
    <row r="248" spans="1:6" ht="15.75">
      <c r="A248" s="21"/>
      <c r="B248" s="21"/>
      <c r="C248" s="21"/>
      <c r="D248" s="24"/>
      <c r="E248" s="1273">
        <f>SUM(E246:F246)</f>
        <v>31</v>
      </c>
      <c r="F248" s="1274"/>
    </row>
    <row r="249" spans="1:6" ht="15.75">
      <c r="A249" s="1"/>
      <c r="B249" s="1"/>
      <c r="C249" s="1"/>
      <c r="D249" s="1"/>
      <c r="E249" s="1"/>
      <c r="F249" s="1"/>
    </row>
    <row r="250" spans="1:6" ht="15.75">
      <c r="A250" s="1260" t="str">
        <f>Ин.яз!B13</f>
        <v>Катков Константин Александрович</v>
      </c>
      <c r="B250" s="1261"/>
      <c r="C250" s="1261"/>
      <c r="D250" s="1261"/>
      <c r="E250" s="1261"/>
      <c r="F250" s="1262"/>
    </row>
    <row r="251" spans="1:6">
      <c r="A251" s="1263">
        <f ca="1">TODAY()</f>
        <v>46120</v>
      </c>
      <c r="B251" s="1264"/>
      <c r="C251" s="1264"/>
      <c r="D251" s="1265"/>
      <c r="E251" s="1266" t="s">
        <v>0</v>
      </c>
      <c r="F251" s="1267"/>
    </row>
    <row r="252" spans="1:6" ht="28.5">
      <c r="A252" s="2" t="s">
        <v>1</v>
      </c>
      <c r="B252" s="2" t="s">
        <v>2</v>
      </c>
      <c r="C252" s="3" t="s">
        <v>3</v>
      </c>
      <c r="D252" s="4" t="s">
        <v>4</v>
      </c>
      <c r="E252" s="4" t="s">
        <v>5</v>
      </c>
      <c r="F252" s="4" t="s">
        <v>6</v>
      </c>
    </row>
    <row r="253" spans="1:6" ht="30">
      <c r="A253" s="6">
        <v>1</v>
      </c>
      <c r="B253" s="7" t="s">
        <v>7</v>
      </c>
      <c r="C253" s="1268"/>
      <c r="D253" s="8">
        <f>Ин.яз!AN13</f>
        <v>2.375</v>
      </c>
      <c r="E253" s="6">
        <f>Ин.яз!AO13</f>
        <v>0</v>
      </c>
      <c r="F253" s="6">
        <f>Ин.яз!AP13</f>
        <v>11</v>
      </c>
    </row>
    <row r="254" spans="1:6">
      <c r="A254" s="6">
        <v>2</v>
      </c>
      <c r="B254" s="9" t="s">
        <v>8</v>
      </c>
      <c r="C254" s="1269"/>
      <c r="D254" s="8">
        <f>Физ.ра!BL13</f>
        <v>3.8571428571428572</v>
      </c>
      <c r="E254" s="6">
        <f>Физ.ра!BM13</f>
        <v>0</v>
      </c>
      <c r="F254" s="6">
        <f>Физ.ра!BN13</f>
        <v>7</v>
      </c>
    </row>
    <row r="255" spans="1:6">
      <c r="A255" s="6">
        <v>3</v>
      </c>
      <c r="B255" s="9" t="s">
        <v>9</v>
      </c>
      <c r="C255" s="10" t="str">
        <f>CONCATENATE(История!AC245)</f>
        <v/>
      </c>
      <c r="D255" s="8">
        <f>История!AD13</f>
        <v>3.2</v>
      </c>
      <c r="E255" s="6">
        <f>История!AE13</f>
        <v>0</v>
      </c>
      <c r="F255" s="6">
        <f>История!AF13</f>
        <v>0</v>
      </c>
    </row>
    <row r="256" spans="1:6" ht="30">
      <c r="A256" s="6">
        <v>4</v>
      </c>
      <c r="B256" s="9" t="s">
        <v>10</v>
      </c>
      <c r="C256" s="10" t="str">
        <f>CONCATENATE(ПиРИП!AP246)</f>
        <v/>
      </c>
      <c r="D256" s="8">
        <f>ПиРИП!AQ13</f>
        <v>3</v>
      </c>
      <c r="E256" s="6">
        <f>ПиРИП!AR13</f>
        <v>0</v>
      </c>
      <c r="F256" s="6">
        <f>ПиРИП!AS13</f>
        <v>13</v>
      </c>
    </row>
    <row r="257" spans="1:6">
      <c r="A257" s="6">
        <v>5</v>
      </c>
      <c r="B257" s="9" t="s">
        <v>11</v>
      </c>
      <c r="C257" s="10" t="str">
        <f>CONCATENATE('Элемент выш мат'!BQ245)</f>
        <v/>
      </c>
      <c r="D257" s="8">
        <f>'Элемент выш мат'!BR13</f>
        <v>2.4</v>
      </c>
      <c r="E257" s="6">
        <f>'Элемент выш мат'!BS13</f>
        <v>0</v>
      </c>
      <c r="F257" s="6">
        <f>'Элемент выш мат'!BT13</f>
        <v>15</v>
      </c>
    </row>
    <row r="258" spans="1:6" ht="30">
      <c r="A258" s="6">
        <v>6</v>
      </c>
      <c r="B258" s="9" t="s">
        <v>12</v>
      </c>
      <c r="C258" s="10" t="str">
        <f>CONCATENATE('арх.ап.средств'!AP244)</f>
        <v/>
      </c>
      <c r="D258" s="8">
        <f>'арх.ап.средств'!AQ13</f>
        <v>3.1333333333333333</v>
      </c>
      <c r="E258" s="6">
        <f>'арх.ап.средств'!AR13</f>
        <v>0</v>
      </c>
      <c r="F258" s="6">
        <f>'арх.ап.средств'!AS13</f>
        <v>0</v>
      </c>
    </row>
    <row r="259" spans="1:6">
      <c r="A259" s="6">
        <v>7</v>
      </c>
      <c r="B259" s="9" t="s">
        <v>13</v>
      </c>
      <c r="C259" s="10" t="str">
        <f>CONCATENATE('Опер.систем-среды'!AV245)</f>
        <v/>
      </c>
      <c r="D259" s="8">
        <f>'Опер.систем-среды'!AW13</f>
        <v>2</v>
      </c>
      <c r="E259" s="6">
        <f>'Опер.систем-среды'!AX13</f>
        <v>0</v>
      </c>
      <c r="F259" s="6">
        <f>'Опер.систем-среды'!AY13</f>
        <v>10</v>
      </c>
    </row>
    <row r="260" spans="1:6" ht="30">
      <c r="A260" s="6">
        <v>8</v>
      </c>
      <c r="B260" s="9" t="s">
        <v>14</v>
      </c>
      <c r="C260" s="10" t="str">
        <f>CONCATENATE('Основы алгоритмизации'!CC245)</f>
        <v/>
      </c>
      <c r="D260" s="8">
        <f>'Основы алгоритмизации'!CD13</f>
        <v>2.2000000000000002</v>
      </c>
      <c r="E260" s="6">
        <f>'Основы алгоритмизации'!CE13</f>
        <v>0</v>
      </c>
      <c r="F260" s="6">
        <f>'Основы алгоритмизации'!CF13</f>
        <v>6</v>
      </c>
    </row>
    <row r="261" spans="1:6" ht="30">
      <c r="A261" s="6">
        <v>9</v>
      </c>
      <c r="B261" s="9" t="s">
        <v>16</v>
      </c>
      <c r="C261" s="10" t="str">
        <f>CONCATENATE('Осн.пр.Базы данных'!BB245)</f>
        <v/>
      </c>
      <c r="D261" s="8">
        <f>'Осн.пр.Базы данных'!BC13</f>
        <v>2.6</v>
      </c>
      <c r="E261" s="6">
        <f>'Осн.пр.Базы данных'!BD13</f>
        <v>0</v>
      </c>
      <c r="F261" s="6">
        <f>'Осн.пр.Базы данных'!BE13</f>
        <v>4</v>
      </c>
    </row>
    <row r="262" spans="1:6">
      <c r="A262" s="6">
        <v>10</v>
      </c>
      <c r="B262" s="9" t="s">
        <v>17</v>
      </c>
      <c r="C262" s="10" t="str">
        <f>CONCATENATE('Числ метод'!AI245)</f>
        <v/>
      </c>
      <c r="D262" s="8">
        <f>'Числ метод'!AJ13</f>
        <v>3.2</v>
      </c>
      <c r="E262" s="6">
        <f>'Числ метод'!AK13</f>
        <v>0</v>
      </c>
      <c r="F262" s="6">
        <f>'Числ метод'!AL13</f>
        <v>7</v>
      </c>
    </row>
    <row r="263" spans="1:6">
      <c r="A263" s="6">
        <v>11</v>
      </c>
      <c r="B263" s="9" t="s">
        <v>18</v>
      </c>
      <c r="C263" s="11" t="str">
        <f>CONCATENATE('Комп сеть'!Y245)</f>
        <v/>
      </c>
      <c r="D263" s="12">
        <f>'Комп сеть'!Z13</f>
        <v>2.25</v>
      </c>
      <c r="E263" s="13">
        <f>'Комп сеть'!AA13</f>
        <v>0</v>
      </c>
      <c r="F263" s="13">
        <f>'Комп сеть'!AB13</f>
        <v>5</v>
      </c>
    </row>
    <row r="264" spans="1:6" ht="30">
      <c r="A264" s="6">
        <v>12</v>
      </c>
      <c r="B264" s="9" t="s">
        <v>19</v>
      </c>
      <c r="C264" s="11" t="str">
        <f>CONCATENATE('Теор.вероят и мат.стат'!BX245)</f>
        <v/>
      </c>
      <c r="D264" s="12">
        <f>'Теор.вероят и мат.стат'!BY13</f>
        <v>3.3333333333333335</v>
      </c>
      <c r="E264" s="13">
        <f>'Теор.вероят и мат.стат'!BZ13</f>
        <v>0</v>
      </c>
      <c r="F264" s="13">
        <f>'Теор.вероят и мат.стат'!CA13</f>
        <v>9</v>
      </c>
    </row>
    <row r="265" spans="1:6">
      <c r="A265" s="6">
        <v>13</v>
      </c>
      <c r="B265" s="9" t="s">
        <v>20</v>
      </c>
      <c r="C265" s="11" t="str">
        <f>CONCATENATE('Дискрет.мат '!BQ245)</f>
        <v/>
      </c>
      <c r="D265" s="12">
        <f>'Дискрет.мат '!BR13</f>
        <v>2</v>
      </c>
      <c r="E265" s="13">
        <f>'Дискрет.мат '!BS13</f>
        <v>0</v>
      </c>
      <c r="F265" s="13">
        <f>'Дискрет.мат '!BT13</f>
        <v>7</v>
      </c>
    </row>
    <row r="266" spans="1:6" ht="30">
      <c r="A266" s="6">
        <v>14</v>
      </c>
      <c r="B266" s="9" t="s">
        <v>21</v>
      </c>
      <c r="C266" s="14" t="str">
        <f>CONCATENATE('Разработка кода ИС'!AO245)</f>
        <v/>
      </c>
      <c r="D266" s="15">
        <f>'Разработка кода ИС'!AP13</f>
        <v>2</v>
      </c>
      <c r="E266" s="16">
        <f>'Разработка кода ИС'!AQ13</f>
        <v>0</v>
      </c>
      <c r="F266" s="16">
        <f>'Разработка кода ИС'!AR13</f>
        <v>3</v>
      </c>
    </row>
    <row r="267" spans="1:6" ht="30">
      <c r="A267" s="6">
        <v>15</v>
      </c>
      <c r="B267" s="9" t="s">
        <v>22</v>
      </c>
      <c r="C267" s="1268"/>
      <c r="D267" s="8" t="str">
        <f>'Внедр.подд.комп.систем'!BC13</f>
        <v>Нет оценок</v>
      </c>
      <c r="E267" s="6">
        <f>'Внедр.подд.комп.систем'!BD13</f>
        <v>0</v>
      </c>
      <c r="F267" s="6">
        <f>'Внедр.подд.комп.систем'!BE13</f>
        <v>0</v>
      </c>
    </row>
    <row r="268" spans="1:6" ht="45">
      <c r="A268" s="6">
        <v>16</v>
      </c>
      <c r="B268" s="9" t="s">
        <v>23</v>
      </c>
      <c r="C268" s="1270"/>
      <c r="D268" s="8" t="str">
        <f>'Тестирование ИС'!CA13</f>
        <v>Нет оценок</v>
      </c>
      <c r="E268" s="6">
        <f>'Тестирование ИС'!CB13</f>
        <v>0</v>
      </c>
      <c r="F268" s="6">
        <f>'Тестирование ИС'!CC13</f>
        <v>2</v>
      </c>
    </row>
    <row r="269" spans="1:6">
      <c r="A269" s="6">
        <v>17</v>
      </c>
      <c r="B269" s="9" t="s">
        <v>24</v>
      </c>
      <c r="C269" s="1270"/>
      <c r="D269" s="8">
        <f>Псих.общ!BW13</f>
        <v>4</v>
      </c>
      <c r="E269" s="6">
        <f>Псих.общ!BX13</f>
        <v>0</v>
      </c>
      <c r="F269" s="6">
        <f>Псих.общ!BY13</f>
        <v>5</v>
      </c>
    </row>
    <row r="270" spans="1:6" ht="30">
      <c r="A270" s="17">
        <v>18</v>
      </c>
      <c r="B270" s="18" t="s">
        <v>25</v>
      </c>
      <c r="C270" s="1270"/>
      <c r="D270" s="19" t="str">
        <f>'Тех.разра.БД'!AA13</f>
        <v>Нет оценок</v>
      </c>
      <c r="E270" s="17">
        <f>'Тех.разра.БД'!AB13</f>
        <v>0</v>
      </c>
      <c r="F270" s="17">
        <f>'Тех.разра.БД'!AC13</f>
        <v>0</v>
      </c>
    </row>
    <row r="271" spans="1:6">
      <c r="A271" s="6">
        <v>19</v>
      </c>
      <c r="B271" s="18" t="s">
        <v>26</v>
      </c>
      <c r="C271" s="13"/>
      <c r="D271" s="19">
        <f>БЖ!AA13</f>
        <v>2</v>
      </c>
      <c r="E271" s="17">
        <f>БЖ!AB13</f>
        <v>0</v>
      </c>
      <c r="F271" s="17">
        <f>БЖ!AC13</f>
        <v>8</v>
      </c>
    </row>
    <row r="272" spans="1:6" s="5" customFormat="1" ht="30">
      <c r="A272" s="1469" t="s">
        <v>27</v>
      </c>
      <c r="B272" s="1468" t="s">
        <v>634</v>
      </c>
      <c r="C272" s="13">
        <f>'Граф диз и мульт'!Z13</f>
        <v>0</v>
      </c>
      <c r="D272" s="8">
        <f>'Граф диз и мульт'!AA13</f>
        <v>3</v>
      </c>
      <c r="E272" s="6">
        <f>'Граф диз и мульт'!AB13</f>
        <v>0</v>
      </c>
      <c r="F272" s="6">
        <f>'Граф диз и мульт'!AC13</f>
        <v>4</v>
      </c>
    </row>
    <row r="273" spans="1:6" ht="30">
      <c r="A273" s="1469" t="s">
        <v>86</v>
      </c>
      <c r="B273" s="7" t="s">
        <v>28</v>
      </c>
      <c r="C273" s="13"/>
      <c r="D273" s="8">
        <f>'Проектирование и дизайн ИС'!AP13</f>
        <v>2.375</v>
      </c>
      <c r="E273" s="6">
        <f>'Проектирование и дизайн ИС'!AQ13</f>
        <v>0</v>
      </c>
      <c r="F273" s="6">
        <f>'Проектирование и дизайн ИС'!AR13</f>
        <v>9</v>
      </c>
    </row>
    <row r="274" spans="1:6" ht="15.75">
      <c r="A274" s="21"/>
      <c r="B274" s="21"/>
      <c r="C274" s="21"/>
      <c r="D274" s="22">
        <f>IFERROR(AVERAGE(D253:D273),"")</f>
        <v>2.717989417989418</v>
      </c>
      <c r="E274" s="23">
        <f>SUM(E253:E273)</f>
        <v>0</v>
      </c>
      <c r="F274" s="23">
        <f>SUM(F253:F273)</f>
        <v>125</v>
      </c>
    </row>
    <row r="275" spans="1:6" ht="15.75">
      <c r="A275" s="21"/>
      <c r="B275" s="21"/>
      <c r="C275" s="21"/>
      <c r="D275" s="24"/>
      <c r="E275" s="1271" t="s">
        <v>29</v>
      </c>
      <c r="F275" s="1272"/>
    </row>
    <row r="276" spans="1:6" ht="15.75">
      <c r="A276" s="21"/>
      <c r="B276" s="21"/>
      <c r="C276" s="21"/>
      <c r="D276" s="24"/>
      <c r="E276" s="1273">
        <f>SUM(E274:F274)</f>
        <v>125</v>
      </c>
      <c r="F276" s="1274"/>
    </row>
    <row r="277" spans="1:6" ht="15.75">
      <c r="A277" s="1"/>
      <c r="B277" s="1"/>
      <c r="C277" s="1"/>
      <c r="D277" s="1"/>
      <c r="E277" s="1"/>
      <c r="F277" s="1"/>
    </row>
    <row r="278" spans="1:6" ht="15.75">
      <c r="A278" s="1260" t="str">
        <f>Ин.яз!B14</f>
        <v>Корнеев Андрей Александрович</v>
      </c>
      <c r="B278" s="1261"/>
      <c r="C278" s="1261"/>
      <c r="D278" s="1261"/>
      <c r="E278" s="1261"/>
      <c r="F278" s="1262"/>
    </row>
    <row r="279" spans="1:6">
      <c r="A279" s="1263">
        <f ca="1">TODAY()</f>
        <v>46120</v>
      </c>
      <c r="B279" s="1264"/>
      <c r="C279" s="1264"/>
      <c r="D279" s="1265"/>
      <c r="E279" s="1266" t="s">
        <v>0</v>
      </c>
      <c r="F279" s="1267"/>
    </row>
    <row r="280" spans="1:6" ht="28.5">
      <c r="A280" s="2" t="s">
        <v>1</v>
      </c>
      <c r="B280" s="2" t="s">
        <v>2</v>
      </c>
      <c r="C280" s="3" t="s">
        <v>3</v>
      </c>
      <c r="D280" s="4" t="s">
        <v>4</v>
      </c>
      <c r="E280" s="4" t="s">
        <v>5</v>
      </c>
      <c r="F280" s="4" t="s">
        <v>6</v>
      </c>
    </row>
    <row r="281" spans="1:6" ht="30">
      <c r="A281" s="6">
        <v>1</v>
      </c>
      <c r="B281" s="7" t="s">
        <v>7</v>
      </c>
      <c r="C281" s="1268"/>
      <c r="D281" s="8">
        <f>Ин.яз!AN14</f>
        <v>3.6470588235294117</v>
      </c>
      <c r="E281" s="6">
        <f>Ин.яз!AO14</f>
        <v>0</v>
      </c>
      <c r="F281" s="6">
        <f>Ин.яз!AP14</f>
        <v>1</v>
      </c>
    </row>
    <row r="282" spans="1:6">
      <c r="A282" s="6">
        <v>2</v>
      </c>
      <c r="B282" s="9" t="s">
        <v>8</v>
      </c>
      <c r="C282" s="1269"/>
      <c r="D282" s="8">
        <f>Физ.ра!BL14</f>
        <v>4.8666666666666663</v>
      </c>
      <c r="E282" s="6">
        <f>Физ.ра!BM14</f>
        <v>0</v>
      </c>
      <c r="F282" s="6">
        <f>Физ.ра!BN14</f>
        <v>0</v>
      </c>
    </row>
    <row r="283" spans="1:6">
      <c r="A283" s="6">
        <v>3</v>
      </c>
      <c r="B283" s="9" t="s">
        <v>9</v>
      </c>
      <c r="C283" s="10" t="str">
        <f>CONCATENATE(История!AC272)</f>
        <v/>
      </c>
      <c r="D283" s="8">
        <f>История!AD14</f>
        <v>4.5714285714285712</v>
      </c>
      <c r="E283" s="6">
        <f>История!AE14</f>
        <v>0</v>
      </c>
      <c r="F283" s="6">
        <f>История!AF14</f>
        <v>0</v>
      </c>
    </row>
    <row r="284" spans="1:6" ht="30">
      <c r="A284" s="6">
        <v>4</v>
      </c>
      <c r="B284" s="9" t="s">
        <v>10</v>
      </c>
      <c r="C284" s="10" t="str">
        <f>CONCATENATE(ПиРИП!AP273)</f>
        <v/>
      </c>
      <c r="D284" s="8">
        <f>ПиРИП!AQ14</f>
        <v>3.1538461538461537</v>
      </c>
      <c r="E284" s="6">
        <f>ПиРИП!AR14</f>
        <v>0</v>
      </c>
      <c r="F284" s="6">
        <f>ПиРИП!AS14</f>
        <v>0</v>
      </c>
    </row>
    <row r="285" spans="1:6">
      <c r="A285" s="6">
        <v>5</v>
      </c>
      <c r="B285" s="9" t="s">
        <v>11</v>
      </c>
      <c r="C285" s="10" t="str">
        <f>CONCATENATE('Элемент выш мат'!BQ272)</f>
        <v/>
      </c>
      <c r="D285" s="8">
        <f>'Элемент выш мат'!BR14</f>
        <v>2.125</v>
      </c>
      <c r="E285" s="6">
        <f>'Элемент выш мат'!BS14</f>
        <v>0</v>
      </c>
      <c r="F285" s="6">
        <f>'Элемент выш мат'!BT14</f>
        <v>3</v>
      </c>
    </row>
    <row r="286" spans="1:6" ht="30">
      <c r="A286" s="6">
        <v>6</v>
      </c>
      <c r="B286" s="9" t="s">
        <v>12</v>
      </c>
      <c r="C286" s="10" t="str">
        <f>CONCATENATE('арх.ап.средств'!AP271)</f>
        <v/>
      </c>
      <c r="D286" s="8">
        <f>'арх.ап.средств'!AQ14</f>
        <v>3.1333333333333333</v>
      </c>
      <c r="E286" s="6">
        <f>'арх.ап.средств'!AR14</f>
        <v>0</v>
      </c>
      <c r="F286" s="6">
        <f>'арх.ап.средств'!AS14</f>
        <v>0</v>
      </c>
    </row>
    <row r="287" spans="1:6">
      <c r="A287" s="6">
        <v>7</v>
      </c>
      <c r="B287" s="9" t="s">
        <v>13</v>
      </c>
      <c r="C287" s="10" t="str">
        <f>CONCATENATE('Опер.систем-среды'!AV272)</f>
        <v/>
      </c>
      <c r="D287" s="8">
        <f>'Опер.систем-среды'!AW14</f>
        <v>2</v>
      </c>
      <c r="E287" s="6">
        <f>'Опер.систем-среды'!AX14</f>
        <v>0</v>
      </c>
      <c r="F287" s="6">
        <f>'Опер.систем-среды'!AY14</f>
        <v>4</v>
      </c>
    </row>
    <row r="288" spans="1:6" ht="30">
      <c r="A288" s="6">
        <v>8</v>
      </c>
      <c r="B288" s="9" t="s">
        <v>14</v>
      </c>
      <c r="C288" s="10" t="str">
        <f>CONCATENATE('Основы алгоритмизации'!CC272)</f>
        <v/>
      </c>
      <c r="D288" s="8">
        <f>'Основы алгоритмизации'!CD14</f>
        <v>2.4666666666666668</v>
      </c>
      <c r="E288" s="6">
        <f>'Основы алгоритмизации'!CE14</f>
        <v>0</v>
      </c>
      <c r="F288" s="6">
        <f>'Основы алгоритмизации'!CF14</f>
        <v>1</v>
      </c>
    </row>
    <row r="289" spans="1:6" ht="30">
      <c r="A289" s="6">
        <v>9</v>
      </c>
      <c r="B289" s="9" t="s">
        <v>16</v>
      </c>
      <c r="C289" s="10" t="str">
        <f>CONCATENATE('Осн.пр.Базы данных'!BB272)</f>
        <v/>
      </c>
      <c r="D289" s="8">
        <f>'Осн.пр.Базы данных'!BC14</f>
        <v>3</v>
      </c>
      <c r="E289" s="6">
        <f>'Осн.пр.Базы данных'!BD14</f>
        <v>0</v>
      </c>
      <c r="F289" s="6">
        <f>'Осн.пр.Базы данных'!BE14</f>
        <v>3</v>
      </c>
    </row>
    <row r="290" spans="1:6">
      <c r="A290" s="6">
        <v>10</v>
      </c>
      <c r="B290" s="9" t="s">
        <v>17</v>
      </c>
      <c r="C290" s="10" t="str">
        <f>CONCATENATE('Числ метод'!AI272)</f>
        <v/>
      </c>
      <c r="D290" s="8">
        <f>'Числ метод'!AJ14</f>
        <v>2.4285714285714284</v>
      </c>
      <c r="E290" s="6">
        <f>'Числ метод'!AK14</f>
        <v>0</v>
      </c>
      <c r="F290" s="6">
        <f>'Числ метод'!AL14</f>
        <v>0</v>
      </c>
    </row>
    <row r="291" spans="1:6">
      <c r="A291" s="6">
        <v>11</v>
      </c>
      <c r="B291" s="9" t="s">
        <v>18</v>
      </c>
      <c r="C291" s="11" t="str">
        <f>CONCATENATE('Комп сеть'!Y272)</f>
        <v/>
      </c>
      <c r="D291" s="12">
        <f>'Комп сеть'!Z14</f>
        <v>3.1428571428571428</v>
      </c>
      <c r="E291" s="13">
        <f>'Комп сеть'!AA14</f>
        <v>0</v>
      </c>
      <c r="F291" s="13">
        <f>'Комп сеть'!AB14</f>
        <v>10</v>
      </c>
    </row>
    <row r="292" spans="1:6" ht="30">
      <c r="A292" s="6">
        <v>12</v>
      </c>
      <c r="B292" s="9" t="s">
        <v>19</v>
      </c>
      <c r="C292" s="11" t="str">
        <f>CONCATENATE('Теор.вероят и мат.стат'!BX272)</f>
        <v/>
      </c>
      <c r="D292" s="12">
        <f>'Теор.вероят и мат.стат'!BY14</f>
        <v>2</v>
      </c>
      <c r="E292" s="13">
        <f>'Теор.вероят и мат.стат'!BZ14</f>
        <v>0</v>
      </c>
      <c r="F292" s="13">
        <f>'Теор.вероят и мат.стат'!CA14</f>
        <v>2</v>
      </c>
    </row>
    <row r="293" spans="1:6">
      <c r="A293" s="6">
        <v>13</v>
      </c>
      <c r="B293" s="9" t="s">
        <v>20</v>
      </c>
      <c r="C293" s="11" t="str">
        <f>CONCATENATE('Дискрет.мат '!BQ272)</f>
        <v/>
      </c>
      <c r="D293" s="12">
        <f>'Дискрет.мат '!BR14</f>
        <v>2</v>
      </c>
      <c r="E293" s="13">
        <f>'Дискрет.мат '!BS14</f>
        <v>0</v>
      </c>
      <c r="F293" s="13">
        <f>'Дискрет.мат '!BT14</f>
        <v>1</v>
      </c>
    </row>
    <row r="294" spans="1:6" ht="30">
      <c r="A294" s="6">
        <v>14</v>
      </c>
      <c r="B294" s="9" t="s">
        <v>21</v>
      </c>
      <c r="C294" s="14" t="str">
        <f>CONCATENATE('Разработка кода ИС'!AO272)</f>
        <v/>
      </c>
      <c r="D294" s="15">
        <f>'Разработка кода ИС'!AP14</f>
        <v>2</v>
      </c>
      <c r="E294" s="16">
        <f>'Разработка кода ИС'!AQ14</f>
        <v>0</v>
      </c>
      <c r="F294" s="16">
        <f>'Разработка кода ИС'!AR14</f>
        <v>0</v>
      </c>
    </row>
    <row r="295" spans="1:6" ht="30">
      <c r="A295" s="6">
        <v>15</v>
      </c>
      <c r="B295" s="9" t="s">
        <v>22</v>
      </c>
      <c r="C295" s="1268"/>
      <c r="D295" s="8" t="str">
        <f>'Внедр.подд.комп.систем'!BC14</f>
        <v>Нет оценок</v>
      </c>
      <c r="E295" s="6">
        <f>'Внедр.подд.комп.систем'!BD14</f>
        <v>0</v>
      </c>
      <c r="F295" s="6">
        <f>'Внедр.подд.комп.систем'!BE14</f>
        <v>0</v>
      </c>
    </row>
    <row r="296" spans="1:6" ht="45">
      <c r="A296" s="6">
        <v>16</v>
      </c>
      <c r="B296" s="9" t="s">
        <v>23</v>
      </c>
      <c r="C296" s="1270"/>
      <c r="D296" s="8">
        <f>'Тестирование ИС'!CA14</f>
        <v>5</v>
      </c>
      <c r="E296" s="6">
        <f>'Тестирование ИС'!CB14</f>
        <v>0</v>
      </c>
      <c r="F296" s="6">
        <f>'Тестирование ИС'!CC14</f>
        <v>0</v>
      </c>
    </row>
    <row r="297" spans="1:6">
      <c r="A297" s="6">
        <v>17</v>
      </c>
      <c r="B297" s="9" t="s">
        <v>24</v>
      </c>
      <c r="C297" s="1270"/>
      <c r="D297" s="8">
        <f>Псих.общ!BW14</f>
        <v>4</v>
      </c>
      <c r="E297" s="6">
        <f>Псих.общ!BX14</f>
        <v>0</v>
      </c>
      <c r="F297" s="6">
        <f>Псих.общ!BY14</f>
        <v>1</v>
      </c>
    </row>
    <row r="298" spans="1:6" ht="30">
      <c r="A298" s="17">
        <v>18</v>
      </c>
      <c r="B298" s="18" t="s">
        <v>25</v>
      </c>
      <c r="C298" s="1270"/>
      <c r="D298" s="19" t="str">
        <f>'Тех.разра.БД'!AA14</f>
        <v>Нет оценок</v>
      </c>
      <c r="E298" s="17">
        <f>'Тех.разра.БД'!AB14</f>
        <v>0</v>
      </c>
      <c r="F298" s="17">
        <f>'Тех.разра.БД'!AC14</f>
        <v>0</v>
      </c>
    </row>
    <row r="299" spans="1:6">
      <c r="A299" s="6">
        <v>19</v>
      </c>
      <c r="B299" s="18" t="s">
        <v>26</v>
      </c>
      <c r="C299" s="13"/>
      <c r="D299" s="19">
        <f>БЖ!AA14</f>
        <v>4.75</v>
      </c>
      <c r="E299" s="17">
        <f>БЖ!AB14</f>
        <v>0</v>
      </c>
      <c r="F299" s="17">
        <f>БЖ!AC14</f>
        <v>3</v>
      </c>
    </row>
    <row r="300" spans="1:6" s="5" customFormat="1" ht="30">
      <c r="A300" s="1469" t="s">
        <v>27</v>
      </c>
      <c r="B300" s="1468" t="s">
        <v>634</v>
      </c>
      <c r="C300" s="13">
        <f>'Граф диз и мульт'!Z14</f>
        <v>0</v>
      </c>
      <c r="D300" s="8">
        <f>'Граф диз и мульт'!AA14</f>
        <v>5</v>
      </c>
      <c r="E300" s="6">
        <f>'Граф диз и мульт'!AB14</f>
        <v>1</v>
      </c>
      <c r="F300" s="6">
        <f>'Граф диз и мульт'!AC14</f>
        <v>1</v>
      </c>
    </row>
    <row r="301" spans="1:6" ht="30">
      <c r="A301" s="1469" t="s">
        <v>86</v>
      </c>
      <c r="B301" s="7" t="s">
        <v>28</v>
      </c>
      <c r="C301" s="13"/>
      <c r="D301" s="8">
        <f>'Проектирование и дизайн ИС'!AP14</f>
        <v>3.9090909090909092</v>
      </c>
      <c r="E301" s="6">
        <f>'Проектирование и дизайн ИС'!AQ14</f>
        <v>1</v>
      </c>
      <c r="F301" s="6">
        <f>'Проектирование и дизайн ИС'!AR14</f>
        <v>2</v>
      </c>
    </row>
    <row r="302" spans="1:6" ht="15.75">
      <c r="A302" s="21"/>
      <c r="B302" s="21"/>
      <c r="C302" s="21"/>
      <c r="D302" s="22">
        <f>IFERROR(AVERAGE(D281:D301),"")</f>
        <v>3.326027352420541</v>
      </c>
      <c r="E302" s="23">
        <f>SUM(E281:E301)</f>
        <v>2</v>
      </c>
      <c r="F302" s="23">
        <f>SUM(F281:F301)</f>
        <v>32</v>
      </c>
    </row>
    <row r="303" spans="1:6" ht="15.75">
      <c r="A303" s="21"/>
      <c r="B303" s="21"/>
      <c r="C303" s="21"/>
      <c r="D303" s="24"/>
      <c r="E303" s="1271" t="s">
        <v>29</v>
      </c>
      <c r="F303" s="1272"/>
    </row>
    <row r="304" spans="1:6" ht="15.75">
      <c r="A304" s="21"/>
      <c r="B304" s="21"/>
      <c r="C304" s="21"/>
      <c r="D304" s="24"/>
      <c r="E304" s="1273">
        <f>SUM(E302:F302)</f>
        <v>34</v>
      </c>
      <c r="F304" s="1274"/>
    </row>
    <row r="305" spans="1:6" ht="15.75">
      <c r="A305" s="1"/>
      <c r="B305" s="1"/>
      <c r="C305" s="1"/>
      <c r="D305" s="1"/>
      <c r="E305" s="1"/>
      <c r="F305" s="1"/>
    </row>
    <row r="306" spans="1:6" ht="15.75">
      <c r="A306" s="1260" t="str">
        <f>Ин.яз!B15</f>
        <v>Макаров Максим Алексеевич</v>
      </c>
      <c r="B306" s="1261"/>
      <c r="C306" s="1261"/>
      <c r="D306" s="1261"/>
      <c r="E306" s="1261"/>
      <c r="F306" s="1262"/>
    </row>
    <row r="307" spans="1:6">
      <c r="A307" s="1263">
        <f ca="1">TODAY()</f>
        <v>46120</v>
      </c>
      <c r="B307" s="1264"/>
      <c r="C307" s="1264"/>
      <c r="D307" s="1265"/>
      <c r="E307" s="1266" t="s">
        <v>0</v>
      </c>
      <c r="F307" s="1267"/>
    </row>
    <row r="308" spans="1:6" ht="28.5">
      <c r="A308" s="2" t="s">
        <v>1</v>
      </c>
      <c r="B308" s="2" t="s">
        <v>2</v>
      </c>
      <c r="C308" s="3" t="s">
        <v>3</v>
      </c>
      <c r="D308" s="4" t="s">
        <v>4</v>
      </c>
      <c r="E308" s="4" t="s">
        <v>5</v>
      </c>
      <c r="F308" s="4" t="s">
        <v>6</v>
      </c>
    </row>
    <row r="309" spans="1:6" ht="30">
      <c r="A309" s="6">
        <v>1</v>
      </c>
      <c r="B309" s="7" t="s">
        <v>7</v>
      </c>
      <c r="C309" s="1268"/>
      <c r="D309" s="8">
        <f>Ин.яз!AN15</f>
        <v>3.25</v>
      </c>
      <c r="E309" s="6">
        <f>Ин.яз!AO15</f>
        <v>1</v>
      </c>
      <c r="F309" s="6">
        <f>Ин.яз!AP15</f>
        <v>3</v>
      </c>
    </row>
    <row r="310" spans="1:6">
      <c r="A310" s="6">
        <v>2</v>
      </c>
      <c r="B310" s="9" t="s">
        <v>8</v>
      </c>
      <c r="C310" s="1269"/>
      <c r="D310" s="8">
        <f>Физ.ра!BL15</f>
        <v>5</v>
      </c>
      <c r="E310" s="6">
        <f>Физ.ра!BM15</f>
        <v>1</v>
      </c>
      <c r="F310" s="6">
        <f>Физ.ра!BN15</f>
        <v>1</v>
      </c>
    </row>
    <row r="311" spans="1:6">
      <c r="A311" s="6">
        <v>3</v>
      </c>
      <c r="B311" s="9" t="s">
        <v>9</v>
      </c>
      <c r="C311" s="10" t="str">
        <f>CONCATENATE(История!AC299)</f>
        <v/>
      </c>
      <c r="D311" s="8">
        <f>История!AD15</f>
        <v>4</v>
      </c>
      <c r="E311" s="6">
        <f>История!AE15</f>
        <v>0</v>
      </c>
      <c r="F311" s="6">
        <f>История!AF15</f>
        <v>0</v>
      </c>
    </row>
    <row r="312" spans="1:6" ht="30">
      <c r="A312" s="6">
        <v>4</v>
      </c>
      <c r="B312" s="9" t="s">
        <v>10</v>
      </c>
      <c r="C312" s="10" t="str">
        <f>CONCATENATE(ПиРИП!AP300)</f>
        <v/>
      </c>
      <c r="D312" s="8">
        <f>ПиРИП!AQ15</f>
        <v>4.5999999999999996</v>
      </c>
      <c r="E312" s="6">
        <f>ПиРИП!AR15</f>
        <v>0</v>
      </c>
      <c r="F312" s="6">
        <f>ПиРИП!AS15</f>
        <v>1</v>
      </c>
    </row>
    <row r="313" spans="1:6">
      <c r="A313" s="6">
        <v>5</v>
      </c>
      <c r="B313" s="9" t="s">
        <v>11</v>
      </c>
      <c r="C313" s="10" t="str">
        <f>CONCATENATE('Элемент выш мат'!BQ299)</f>
        <v/>
      </c>
      <c r="D313" s="8">
        <f>'Элемент выш мат'!BR15</f>
        <v>3.3076923076923075</v>
      </c>
      <c r="E313" s="6">
        <f>'Элемент выш мат'!BS15</f>
        <v>0</v>
      </c>
      <c r="F313" s="6">
        <f>'Элемент выш мат'!BT15</f>
        <v>1</v>
      </c>
    </row>
    <row r="314" spans="1:6" ht="30">
      <c r="A314" s="6">
        <v>6</v>
      </c>
      <c r="B314" s="9" t="s">
        <v>12</v>
      </c>
      <c r="C314" s="10" t="str">
        <f>CONCATENATE('арх.ап.средств'!AP298)</f>
        <v/>
      </c>
      <c r="D314" s="8">
        <f>'арх.ап.средств'!AQ15</f>
        <v>4.333333333333333</v>
      </c>
      <c r="E314" s="6">
        <f>'арх.ап.средств'!AR15</f>
        <v>0</v>
      </c>
      <c r="F314" s="6">
        <f>'арх.ап.средств'!AS15</f>
        <v>0</v>
      </c>
    </row>
    <row r="315" spans="1:6">
      <c r="A315" s="6">
        <v>7</v>
      </c>
      <c r="B315" s="9" t="s">
        <v>13</v>
      </c>
      <c r="C315" s="10" t="str">
        <f>CONCATENATE('Опер.систем-среды'!AV299)</f>
        <v/>
      </c>
      <c r="D315" s="8">
        <f>'Опер.систем-среды'!AW15</f>
        <v>4.5</v>
      </c>
      <c r="E315" s="6">
        <f>'Опер.систем-среды'!AX15</f>
        <v>1</v>
      </c>
      <c r="F315" s="6">
        <f>'Опер.систем-среды'!AY15</f>
        <v>1</v>
      </c>
    </row>
    <row r="316" spans="1:6" ht="30">
      <c r="A316" s="6">
        <v>8</v>
      </c>
      <c r="B316" s="9" t="s">
        <v>14</v>
      </c>
      <c r="C316" s="10" t="str">
        <f>CONCATENATE('Основы алгоритмизации'!CC299)</f>
        <v/>
      </c>
      <c r="D316" s="8">
        <f>'Основы алгоритмизации'!CD15</f>
        <v>2.5833333333333335</v>
      </c>
      <c r="E316" s="6">
        <f>'Основы алгоритмизации'!CE15</f>
        <v>0</v>
      </c>
      <c r="F316" s="6">
        <f>'Основы алгоритмизации'!CF15</f>
        <v>2</v>
      </c>
    </row>
    <row r="317" spans="1:6" ht="30">
      <c r="A317" s="6">
        <v>9</v>
      </c>
      <c r="B317" s="9" t="s">
        <v>16</v>
      </c>
      <c r="C317" s="10" t="str">
        <f>CONCATENATE('Осн.пр.Базы данных'!BB299)</f>
        <v/>
      </c>
      <c r="D317" s="8">
        <f>'Осн.пр.Базы данных'!BC15</f>
        <v>2.8333333333333335</v>
      </c>
      <c r="E317" s="6">
        <f>'Осн.пр.Базы данных'!BD15</f>
        <v>0</v>
      </c>
      <c r="F317" s="6">
        <f>'Осн.пр.Базы данных'!BE15</f>
        <v>0</v>
      </c>
    </row>
    <row r="318" spans="1:6">
      <c r="A318" s="6">
        <v>10</v>
      </c>
      <c r="B318" s="9" t="s">
        <v>17</v>
      </c>
      <c r="C318" s="10" t="str">
        <f>CONCATENATE('Числ метод'!AI299)</f>
        <v/>
      </c>
      <c r="D318" s="8">
        <f>'Числ метод'!AJ15</f>
        <v>3.2222222222222223</v>
      </c>
      <c r="E318" s="6">
        <f>'Числ метод'!AK15</f>
        <v>0</v>
      </c>
      <c r="F318" s="6">
        <f>'Числ метод'!AL15</f>
        <v>0</v>
      </c>
    </row>
    <row r="319" spans="1:6">
      <c r="A319" s="6">
        <v>11</v>
      </c>
      <c r="B319" s="9" t="s">
        <v>18</v>
      </c>
      <c r="C319" s="11" t="str">
        <f>CONCATENATE('Комп сеть'!Y299)</f>
        <v/>
      </c>
      <c r="D319" s="12">
        <f>'Комп сеть'!Z15</f>
        <v>4.2352941176470589</v>
      </c>
      <c r="E319" s="13">
        <f>'Комп сеть'!AA15</f>
        <v>0</v>
      </c>
      <c r="F319" s="13">
        <f>'Комп сеть'!AB15</f>
        <v>0</v>
      </c>
    </row>
    <row r="320" spans="1:6" ht="30">
      <c r="A320" s="6">
        <v>12</v>
      </c>
      <c r="B320" s="9" t="s">
        <v>19</v>
      </c>
      <c r="C320" s="11" t="str">
        <f>CONCATENATE('Теор.вероят и мат.стат'!BX299)</f>
        <v/>
      </c>
      <c r="D320" s="12">
        <f>'Теор.вероят и мат.стат'!BY15</f>
        <v>3</v>
      </c>
      <c r="E320" s="13">
        <f>'Теор.вероят и мат.стат'!BZ15</f>
        <v>0</v>
      </c>
      <c r="F320" s="13">
        <f>'Теор.вероят и мат.стат'!CA15</f>
        <v>0</v>
      </c>
    </row>
    <row r="321" spans="1:6">
      <c r="A321" s="6">
        <v>13</v>
      </c>
      <c r="B321" s="9" t="s">
        <v>20</v>
      </c>
      <c r="C321" s="11" t="str">
        <f>CONCATENATE('Дискрет.мат '!BQ299)</f>
        <v/>
      </c>
      <c r="D321" s="12">
        <f>'Дискрет.мат '!BR15</f>
        <v>3.3333333333333335</v>
      </c>
      <c r="E321" s="13">
        <f>'Дискрет.мат '!BS15</f>
        <v>0</v>
      </c>
      <c r="F321" s="13">
        <f>'Дискрет.мат '!BT15</f>
        <v>2</v>
      </c>
    </row>
    <row r="322" spans="1:6" ht="30">
      <c r="A322" s="6">
        <v>14</v>
      </c>
      <c r="B322" s="9" t="s">
        <v>21</v>
      </c>
      <c r="C322" s="14" t="str">
        <f>CONCATENATE('Разработка кода ИС'!AO299)</f>
        <v/>
      </c>
      <c r="D322" s="15">
        <f>'Разработка кода ИС'!AP15</f>
        <v>2</v>
      </c>
      <c r="E322" s="16">
        <f>'Разработка кода ИС'!AQ15</f>
        <v>0</v>
      </c>
      <c r="F322" s="16">
        <f>'Разработка кода ИС'!AR15</f>
        <v>0</v>
      </c>
    </row>
    <row r="323" spans="1:6" ht="30">
      <c r="A323" s="6">
        <v>15</v>
      </c>
      <c r="B323" s="9" t="s">
        <v>22</v>
      </c>
      <c r="C323" s="1268"/>
      <c r="D323" s="8" t="str">
        <f>'Внедр.подд.комп.систем'!BC15</f>
        <v>Нет оценок</v>
      </c>
      <c r="E323" s="6">
        <f>'Внедр.подд.комп.систем'!BD15</f>
        <v>0</v>
      </c>
      <c r="F323" s="6">
        <f>'Внедр.подд.комп.систем'!BE15</f>
        <v>0</v>
      </c>
    </row>
    <row r="324" spans="1:6" ht="45">
      <c r="A324" s="6">
        <v>16</v>
      </c>
      <c r="B324" s="9" t="s">
        <v>23</v>
      </c>
      <c r="C324" s="1270"/>
      <c r="D324" s="8">
        <f>'Тестирование ИС'!CA15</f>
        <v>5</v>
      </c>
      <c r="E324" s="6">
        <f>'Тестирование ИС'!CB15</f>
        <v>0</v>
      </c>
      <c r="F324" s="6">
        <f>'Тестирование ИС'!CC15</f>
        <v>0</v>
      </c>
    </row>
    <row r="325" spans="1:6">
      <c r="A325" s="6">
        <v>17</v>
      </c>
      <c r="B325" s="9" t="s">
        <v>24</v>
      </c>
      <c r="C325" s="1270"/>
      <c r="D325" s="8">
        <f>Псих.общ!BW15</f>
        <v>4.333333333333333</v>
      </c>
      <c r="E325" s="6">
        <f>Псих.общ!BX15</f>
        <v>0</v>
      </c>
      <c r="F325" s="6">
        <f>Псих.общ!BY15</f>
        <v>0</v>
      </c>
    </row>
    <row r="326" spans="1:6" ht="30">
      <c r="A326" s="17">
        <v>18</v>
      </c>
      <c r="B326" s="18" t="s">
        <v>25</v>
      </c>
      <c r="C326" s="1270"/>
      <c r="D326" s="19" t="str">
        <f>'Тех.разра.БД'!AA15</f>
        <v>Нет оценок</v>
      </c>
      <c r="E326" s="17">
        <f>'Тех.разра.БД'!AB15</f>
        <v>0</v>
      </c>
      <c r="F326" s="17">
        <f>'Тех.разра.БД'!AC15</f>
        <v>0</v>
      </c>
    </row>
    <row r="327" spans="1:6">
      <c r="A327" s="6">
        <v>19</v>
      </c>
      <c r="B327" s="18" t="s">
        <v>26</v>
      </c>
      <c r="C327" s="13"/>
      <c r="D327" s="19">
        <f>БЖ!AA15</f>
        <v>3.8888888888888888</v>
      </c>
      <c r="E327" s="17">
        <f>БЖ!AB15</f>
        <v>0</v>
      </c>
      <c r="F327" s="17">
        <f>БЖ!AC15</f>
        <v>0</v>
      </c>
    </row>
    <row r="328" spans="1:6" s="5" customFormat="1" ht="30">
      <c r="A328" s="1469" t="s">
        <v>27</v>
      </c>
      <c r="B328" s="1468" t="s">
        <v>634</v>
      </c>
      <c r="C328" s="13">
        <f>'Граф диз и мульт'!Z15</f>
        <v>0</v>
      </c>
      <c r="D328" s="8">
        <f>'Граф диз и мульт'!AA15</f>
        <v>4.4000000000000004</v>
      </c>
      <c r="E328" s="6">
        <f>'Граф диз и мульт'!AB15</f>
        <v>0</v>
      </c>
      <c r="F328" s="6">
        <f>'Граф диз и мульт'!AC15</f>
        <v>0</v>
      </c>
    </row>
    <row r="329" spans="1:6" ht="30">
      <c r="A329" s="1469" t="s">
        <v>86</v>
      </c>
      <c r="B329" s="7" t="s">
        <v>28</v>
      </c>
      <c r="C329" s="13"/>
      <c r="D329" s="8">
        <f>'Проектирование и дизайн ИС'!AP15</f>
        <v>4.5</v>
      </c>
      <c r="E329" s="6">
        <f>'Проектирование и дизайн ИС'!AQ15</f>
        <v>2</v>
      </c>
      <c r="F329" s="6">
        <f>'Проектирование и дизайн ИС'!AR15</f>
        <v>1</v>
      </c>
    </row>
    <row r="330" spans="1:6" ht="15.75">
      <c r="A330" s="21"/>
      <c r="B330" s="21"/>
      <c r="C330" s="21"/>
      <c r="D330" s="22">
        <f>IFERROR(AVERAGE(D309:D329),"")</f>
        <v>3.8063560106903762</v>
      </c>
      <c r="E330" s="23">
        <f>SUM(E309:E329)</f>
        <v>5</v>
      </c>
      <c r="F330" s="23">
        <f>SUM(F309:F329)</f>
        <v>12</v>
      </c>
    </row>
    <row r="331" spans="1:6" ht="15.75">
      <c r="A331" s="21"/>
      <c r="B331" s="21"/>
      <c r="C331" s="21"/>
      <c r="D331" s="24"/>
      <c r="E331" s="1271" t="s">
        <v>29</v>
      </c>
      <c r="F331" s="1272"/>
    </row>
    <row r="332" spans="1:6" ht="15.75">
      <c r="A332" s="21"/>
      <c r="B332" s="21"/>
      <c r="C332" s="21"/>
      <c r="D332" s="24"/>
      <c r="E332" s="1273">
        <f>SUM(E330:F330)</f>
        <v>17</v>
      </c>
      <c r="F332" s="1274"/>
    </row>
    <row r="333" spans="1:6" ht="15.75">
      <c r="A333" s="1"/>
      <c r="B333" s="1"/>
      <c r="C333" s="1"/>
      <c r="D333" s="1"/>
      <c r="E333" s="1"/>
      <c r="F333" s="1"/>
    </row>
    <row r="334" spans="1:6" ht="15.75">
      <c r="A334" s="1260" t="str">
        <f>Ин.яз!B16</f>
        <v>Муллагалиев Вадим Радмилович</v>
      </c>
      <c r="B334" s="1261"/>
      <c r="C334" s="1261"/>
      <c r="D334" s="1261"/>
      <c r="E334" s="1261"/>
      <c r="F334" s="1262"/>
    </row>
    <row r="335" spans="1:6">
      <c r="A335" s="1263">
        <f ca="1">TODAY()</f>
        <v>46120</v>
      </c>
      <c r="B335" s="1264"/>
      <c r="C335" s="1264"/>
      <c r="D335" s="1265"/>
      <c r="E335" s="1266" t="s">
        <v>0</v>
      </c>
      <c r="F335" s="1267"/>
    </row>
    <row r="336" spans="1:6" ht="28.5">
      <c r="A336" s="2" t="s">
        <v>1</v>
      </c>
      <c r="B336" s="2" t="s">
        <v>2</v>
      </c>
      <c r="C336" s="3" t="s">
        <v>3</v>
      </c>
      <c r="D336" s="4" t="s">
        <v>4</v>
      </c>
      <c r="E336" s="4" t="s">
        <v>5</v>
      </c>
      <c r="F336" s="4" t="s">
        <v>6</v>
      </c>
    </row>
    <row r="337" spans="1:6" ht="30">
      <c r="A337" s="6">
        <v>1</v>
      </c>
      <c r="B337" s="7" t="s">
        <v>7</v>
      </c>
      <c r="C337" s="1268"/>
      <c r="D337" s="8">
        <f>Ин.яз!AN16</f>
        <v>3.4615384615384617</v>
      </c>
      <c r="E337" s="6">
        <f>Ин.яз!AO16</f>
        <v>0</v>
      </c>
      <c r="F337" s="6">
        <f>Ин.яз!AP16</f>
        <v>2</v>
      </c>
    </row>
    <row r="338" spans="1:6">
      <c r="A338" s="6">
        <v>2</v>
      </c>
      <c r="B338" s="9" t="s">
        <v>8</v>
      </c>
      <c r="C338" s="1269"/>
      <c r="D338" s="8">
        <f>Физ.ра!BL16</f>
        <v>5</v>
      </c>
      <c r="E338" s="6">
        <f>Физ.ра!BM16</f>
        <v>1</v>
      </c>
      <c r="F338" s="6">
        <f>Физ.ра!BN16</f>
        <v>2</v>
      </c>
    </row>
    <row r="339" spans="1:6">
      <c r="A339" s="6">
        <v>3</v>
      </c>
      <c r="B339" s="9" t="s">
        <v>9</v>
      </c>
      <c r="C339" s="10" t="str">
        <f>CONCATENATE(История!AC326)</f>
        <v/>
      </c>
      <c r="D339" s="8">
        <f>История!AD16</f>
        <v>3.6</v>
      </c>
      <c r="E339" s="6">
        <f>История!AE16</f>
        <v>0</v>
      </c>
      <c r="F339" s="6">
        <f>История!AF16</f>
        <v>0</v>
      </c>
    </row>
    <row r="340" spans="1:6" ht="30">
      <c r="A340" s="6">
        <v>4</v>
      </c>
      <c r="B340" s="9" t="s">
        <v>10</v>
      </c>
      <c r="C340" s="10" t="str">
        <f>CONCATENATE(ПиРИП!AP327)</f>
        <v/>
      </c>
      <c r="D340" s="8">
        <f>ПиРИП!AQ16</f>
        <v>4.2941176470588234</v>
      </c>
      <c r="E340" s="6">
        <f>ПиРИП!AR16</f>
        <v>0</v>
      </c>
      <c r="F340" s="6">
        <f>ПиРИП!AS16</f>
        <v>2</v>
      </c>
    </row>
    <row r="341" spans="1:6">
      <c r="A341" s="6">
        <v>5</v>
      </c>
      <c r="B341" s="9" t="s">
        <v>11</v>
      </c>
      <c r="C341" s="10" t="str">
        <f>CONCATENATE('Элемент выш мат'!BQ326)</f>
        <v/>
      </c>
      <c r="D341" s="8">
        <f>'Элемент выш мат'!BR16</f>
        <v>3</v>
      </c>
      <c r="E341" s="6">
        <f>'Элемент выш мат'!BS16</f>
        <v>1</v>
      </c>
      <c r="F341" s="6">
        <f>'Элемент выш мат'!BT16</f>
        <v>8</v>
      </c>
    </row>
    <row r="342" spans="1:6" ht="30">
      <c r="A342" s="6">
        <v>6</v>
      </c>
      <c r="B342" s="9" t="s">
        <v>12</v>
      </c>
      <c r="C342" s="10" t="str">
        <f>CONCATENATE('арх.ап.средств'!AP325)</f>
        <v/>
      </c>
      <c r="D342" s="8">
        <f>'арх.ап.средств'!AQ16</f>
        <v>3.9333333333333331</v>
      </c>
      <c r="E342" s="6">
        <f>'арх.ап.средств'!AR16</f>
        <v>0</v>
      </c>
      <c r="F342" s="6">
        <f>'арх.ап.средств'!AS16</f>
        <v>0</v>
      </c>
    </row>
    <row r="343" spans="1:6">
      <c r="A343" s="6">
        <v>7</v>
      </c>
      <c r="B343" s="9" t="s">
        <v>13</v>
      </c>
      <c r="C343" s="10" t="str">
        <f>CONCATENATE('Опер.систем-среды'!AV326)</f>
        <v/>
      </c>
      <c r="D343" s="8">
        <f>'Опер.систем-среды'!AW16</f>
        <v>4</v>
      </c>
      <c r="E343" s="6">
        <f>'Опер.систем-среды'!AX16</f>
        <v>4</v>
      </c>
      <c r="F343" s="6">
        <f>'Опер.систем-среды'!AY16</f>
        <v>2</v>
      </c>
    </row>
    <row r="344" spans="1:6" ht="30">
      <c r="A344" s="6">
        <v>8</v>
      </c>
      <c r="B344" s="9" t="s">
        <v>14</v>
      </c>
      <c r="C344" s="10" t="str">
        <f>CONCATENATE('Основы алгоритмизации'!CC326)</f>
        <v/>
      </c>
      <c r="D344" s="8">
        <f>'Основы алгоритмизации'!CD16</f>
        <v>2.5384615384615383</v>
      </c>
      <c r="E344" s="6">
        <f>'Основы алгоритмизации'!CE16</f>
        <v>0</v>
      </c>
      <c r="F344" s="6">
        <f>'Основы алгоритмизации'!CF16</f>
        <v>1</v>
      </c>
    </row>
    <row r="345" spans="1:6" ht="30">
      <c r="A345" s="6">
        <v>9</v>
      </c>
      <c r="B345" s="9" t="s">
        <v>16</v>
      </c>
      <c r="C345" s="10" t="str">
        <f>CONCATENATE('Осн.пр.Базы данных'!BB326)</f>
        <v/>
      </c>
      <c r="D345" s="8">
        <f>'Осн.пр.Базы данных'!BC16</f>
        <v>2.3333333333333335</v>
      </c>
      <c r="E345" s="6">
        <f>'Осн.пр.Базы данных'!BD16</f>
        <v>2</v>
      </c>
      <c r="F345" s="6">
        <f>'Осн.пр.Базы данных'!BE16</f>
        <v>2</v>
      </c>
    </row>
    <row r="346" spans="1:6">
      <c r="A346" s="6">
        <v>10</v>
      </c>
      <c r="B346" s="9" t="s">
        <v>17</v>
      </c>
      <c r="C346" s="10" t="str">
        <f>CONCATENATE('Числ метод'!AI326)</f>
        <v/>
      </c>
      <c r="D346" s="8">
        <f>'Числ метод'!AJ16</f>
        <v>3.5</v>
      </c>
      <c r="E346" s="6">
        <f>'Числ метод'!AK16</f>
        <v>0</v>
      </c>
      <c r="F346" s="6">
        <f>'Числ метод'!AL16</f>
        <v>0</v>
      </c>
    </row>
    <row r="347" spans="1:6">
      <c r="A347" s="6">
        <v>11</v>
      </c>
      <c r="B347" s="9" t="s">
        <v>18</v>
      </c>
      <c r="C347" s="11" t="str">
        <f>CONCATENATE('Комп сеть'!Y326)</f>
        <v/>
      </c>
      <c r="D347" s="12">
        <f>'Комп сеть'!Z16</f>
        <v>4.4000000000000004</v>
      </c>
      <c r="E347" s="13">
        <f>'Комп сеть'!AA16</f>
        <v>0</v>
      </c>
      <c r="F347" s="13">
        <f>'Комп сеть'!AB16</f>
        <v>0</v>
      </c>
    </row>
    <row r="348" spans="1:6" ht="30">
      <c r="A348" s="6">
        <v>12</v>
      </c>
      <c r="B348" s="9" t="s">
        <v>19</v>
      </c>
      <c r="C348" s="11" t="str">
        <f>CONCATENATE('Теор.вероят и мат.стат'!BX326)</f>
        <v/>
      </c>
      <c r="D348" s="12">
        <f>'Теор.вероят и мат.стат'!BY16</f>
        <v>3.4</v>
      </c>
      <c r="E348" s="13">
        <f>'Теор.вероят и мат.стат'!BZ16</f>
        <v>0</v>
      </c>
      <c r="F348" s="13">
        <f>'Теор.вероят и мат.стат'!CA16</f>
        <v>1</v>
      </c>
    </row>
    <row r="349" spans="1:6">
      <c r="A349" s="6">
        <v>13</v>
      </c>
      <c r="B349" s="9" t="s">
        <v>20</v>
      </c>
      <c r="C349" s="11" t="str">
        <f>CONCATENATE('Дискрет.мат '!BQ326)</f>
        <v/>
      </c>
      <c r="D349" s="12">
        <f>'Дискрет.мат '!BR16</f>
        <v>3.3333333333333335</v>
      </c>
      <c r="E349" s="13">
        <f>'Дискрет.мат '!BS16</f>
        <v>0</v>
      </c>
      <c r="F349" s="13">
        <f>'Дискрет.мат '!BT16</f>
        <v>2</v>
      </c>
    </row>
    <row r="350" spans="1:6" ht="30">
      <c r="A350" s="6">
        <v>14</v>
      </c>
      <c r="B350" s="9" t="s">
        <v>21</v>
      </c>
      <c r="C350" s="14" t="str">
        <f>CONCATENATE('Разработка кода ИС'!AO326)</f>
        <v/>
      </c>
      <c r="D350" s="15" t="str">
        <f>'Разработка кода ИС'!AP16</f>
        <v>Нет оценок</v>
      </c>
      <c r="E350" s="16">
        <f>'Разработка кода ИС'!AQ16</f>
        <v>0</v>
      </c>
      <c r="F350" s="16">
        <f>'Разработка кода ИС'!AR16</f>
        <v>2</v>
      </c>
    </row>
    <row r="351" spans="1:6" ht="30">
      <c r="A351" s="6">
        <v>15</v>
      </c>
      <c r="B351" s="9" t="s">
        <v>22</v>
      </c>
      <c r="C351" s="1268"/>
      <c r="D351" s="8" t="str">
        <f>'Внедр.подд.комп.систем'!BC16</f>
        <v>Нет оценок</v>
      </c>
      <c r="E351" s="6">
        <f>'Внедр.подд.комп.систем'!BD16</f>
        <v>0</v>
      </c>
      <c r="F351" s="6">
        <f>'Внедр.подд.комп.систем'!BE16</f>
        <v>0</v>
      </c>
    </row>
    <row r="352" spans="1:6" ht="45">
      <c r="A352" s="6">
        <v>16</v>
      </c>
      <c r="B352" s="9" t="s">
        <v>23</v>
      </c>
      <c r="C352" s="1270"/>
      <c r="D352" s="8">
        <f>'Тестирование ИС'!CA16</f>
        <v>5</v>
      </c>
      <c r="E352" s="6">
        <f>'Тестирование ИС'!CB16</f>
        <v>0</v>
      </c>
      <c r="F352" s="6">
        <f>'Тестирование ИС'!CC16</f>
        <v>2</v>
      </c>
    </row>
    <row r="353" spans="1:6">
      <c r="A353" s="6">
        <v>17</v>
      </c>
      <c r="B353" s="9" t="s">
        <v>24</v>
      </c>
      <c r="C353" s="1270"/>
      <c r="D353" s="8">
        <f>Псих.общ!BW16</f>
        <v>3.5</v>
      </c>
      <c r="E353" s="6">
        <f>Псих.общ!BX16</f>
        <v>0</v>
      </c>
      <c r="F353" s="6">
        <f>Псих.общ!BY16</f>
        <v>4</v>
      </c>
    </row>
    <row r="354" spans="1:6" ht="30">
      <c r="A354" s="17">
        <v>18</v>
      </c>
      <c r="B354" s="18" t="s">
        <v>25</v>
      </c>
      <c r="C354" s="1270"/>
      <c r="D354" s="19" t="str">
        <f>'Тех.разра.БД'!AA16</f>
        <v>Нет оценок</v>
      </c>
      <c r="E354" s="17">
        <f>'Тех.разра.БД'!AB16</f>
        <v>0</v>
      </c>
      <c r="F354" s="17">
        <f>'Тех.разра.БД'!AC16</f>
        <v>0</v>
      </c>
    </row>
    <row r="355" spans="1:6">
      <c r="A355" s="6">
        <v>19</v>
      </c>
      <c r="B355" s="18" t="s">
        <v>26</v>
      </c>
      <c r="C355" s="13"/>
      <c r="D355" s="19">
        <f>БЖ!AA16</f>
        <v>3.4166666666666665</v>
      </c>
      <c r="E355" s="17">
        <f>БЖ!AB16</f>
        <v>1</v>
      </c>
      <c r="F355" s="17">
        <f>БЖ!AC16</f>
        <v>0</v>
      </c>
    </row>
    <row r="356" spans="1:6" s="5" customFormat="1" ht="30">
      <c r="A356" s="1469" t="s">
        <v>27</v>
      </c>
      <c r="B356" s="1468" t="s">
        <v>634</v>
      </c>
      <c r="C356" s="13">
        <f>'Граф диз и мульт'!Z16</f>
        <v>0</v>
      </c>
      <c r="D356" s="8">
        <f>'Граф диз и мульт'!AA16</f>
        <v>4.4000000000000004</v>
      </c>
      <c r="E356" s="6">
        <f>'Граф диз и мульт'!AB16</f>
        <v>0</v>
      </c>
      <c r="F356" s="6">
        <f>'Граф диз и мульт'!AC16</f>
        <v>0</v>
      </c>
    </row>
    <row r="357" spans="1:6" ht="30">
      <c r="A357" s="1469" t="s">
        <v>86</v>
      </c>
      <c r="B357" s="7" t="s">
        <v>28</v>
      </c>
      <c r="C357" s="13"/>
      <c r="D357" s="8">
        <f>'Проектирование и дизайн ИС'!AP16</f>
        <v>4.166666666666667</v>
      </c>
      <c r="E357" s="6">
        <f>'Проектирование и дизайн ИС'!AQ16</f>
        <v>0</v>
      </c>
      <c r="F357" s="6">
        <f>'Проектирование и дизайн ИС'!AR16</f>
        <v>2</v>
      </c>
    </row>
    <row r="358" spans="1:6" ht="15.75">
      <c r="A358" s="21"/>
      <c r="B358" s="21"/>
      <c r="C358" s="21"/>
      <c r="D358" s="22">
        <f>IFERROR(AVERAGE(D337:D357),"")</f>
        <v>3.7376361655773422</v>
      </c>
      <c r="E358" s="23">
        <f>SUM(E337:E357)</f>
        <v>9</v>
      </c>
      <c r="F358" s="23">
        <f>SUM(F337:F357)</f>
        <v>32</v>
      </c>
    </row>
    <row r="359" spans="1:6" ht="15.75">
      <c r="A359" s="21"/>
      <c r="B359" s="21"/>
      <c r="C359" s="21"/>
      <c r="D359" s="24"/>
      <c r="E359" s="1271" t="s">
        <v>29</v>
      </c>
      <c r="F359" s="1272"/>
    </row>
    <row r="360" spans="1:6" ht="15.75">
      <c r="A360" s="21"/>
      <c r="B360" s="21"/>
      <c r="C360" s="21"/>
      <c r="D360" s="24"/>
      <c r="E360" s="1273">
        <f>SUM(E358:F358)</f>
        <v>41</v>
      </c>
      <c r="F360" s="1274"/>
    </row>
    <row r="361" spans="1:6" ht="15.75">
      <c r="A361" s="1"/>
      <c r="B361" s="1"/>
      <c r="C361" s="1"/>
      <c r="D361" s="1"/>
      <c r="E361" s="1"/>
      <c r="F361" s="1"/>
    </row>
    <row r="362" spans="1:6" ht="15.75">
      <c r="A362" s="1260" t="str">
        <f>Ин.яз!B17</f>
        <v>Натфуллин Камиль Данисович</v>
      </c>
      <c r="B362" s="1261"/>
      <c r="C362" s="1261"/>
      <c r="D362" s="1261"/>
      <c r="E362" s="1261"/>
      <c r="F362" s="1262"/>
    </row>
    <row r="363" spans="1:6">
      <c r="A363" s="1263">
        <f ca="1">TODAY()</f>
        <v>46120</v>
      </c>
      <c r="B363" s="1264"/>
      <c r="C363" s="1264"/>
      <c r="D363" s="1265"/>
      <c r="E363" s="1266" t="s">
        <v>0</v>
      </c>
      <c r="F363" s="1267"/>
    </row>
    <row r="364" spans="1:6" ht="28.5">
      <c r="A364" s="2" t="s">
        <v>1</v>
      </c>
      <c r="B364" s="2" t="s">
        <v>2</v>
      </c>
      <c r="C364" s="3" t="s">
        <v>3</v>
      </c>
      <c r="D364" s="4" t="s">
        <v>4</v>
      </c>
      <c r="E364" s="4" t="s">
        <v>5</v>
      </c>
      <c r="F364" s="4" t="s">
        <v>6</v>
      </c>
    </row>
    <row r="365" spans="1:6" ht="30">
      <c r="A365" s="6">
        <v>1</v>
      </c>
      <c r="B365" s="7" t="s">
        <v>7</v>
      </c>
      <c r="C365" s="1268"/>
      <c r="D365" s="8">
        <f>Ин.яз!AN17</f>
        <v>3.4285714285714284</v>
      </c>
      <c r="E365" s="6">
        <f>Ин.яз!AO17</f>
        <v>0</v>
      </c>
      <c r="F365" s="6">
        <f>Ин.яз!AP17</f>
        <v>10</v>
      </c>
    </row>
    <row r="366" spans="1:6">
      <c r="A366" s="6">
        <v>2</v>
      </c>
      <c r="B366" s="9" t="s">
        <v>8</v>
      </c>
      <c r="C366" s="1269"/>
      <c r="D366" s="8">
        <f>Физ.ра!BL17</f>
        <v>3</v>
      </c>
      <c r="E366" s="6">
        <f>Физ.ра!BM17</f>
        <v>0</v>
      </c>
      <c r="F366" s="6">
        <f>Физ.ра!BN17</f>
        <v>4</v>
      </c>
    </row>
    <row r="367" spans="1:6">
      <c r="A367" s="6">
        <v>3</v>
      </c>
      <c r="B367" s="9" t="s">
        <v>9</v>
      </c>
      <c r="C367" s="10" t="str">
        <f>CONCATENATE(История!AC353)</f>
        <v/>
      </c>
      <c r="D367" s="8">
        <f>История!AD17</f>
        <v>3.5</v>
      </c>
      <c r="E367" s="6">
        <f>История!AE17</f>
        <v>0</v>
      </c>
      <c r="F367" s="6">
        <f>История!AF17</f>
        <v>0</v>
      </c>
    </row>
    <row r="368" spans="1:6" ht="30">
      <c r="A368" s="6">
        <v>4</v>
      </c>
      <c r="B368" s="9" t="s">
        <v>10</v>
      </c>
      <c r="C368" s="10" t="str">
        <f>CONCATENATE(ПиРИП!AP354)</f>
        <v/>
      </c>
      <c r="D368" s="8">
        <f>ПиРИП!AQ17</f>
        <v>3.2</v>
      </c>
      <c r="E368" s="6">
        <f>ПиРИП!AR17</f>
        <v>0</v>
      </c>
      <c r="F368" s="6">
        <f>ПиРИП!AS17</f>
        <v>14</v>
      </c>
    </row>
    <row r="369" spans="1:6">
      <c r="A369" s="6">
        <v>5</v>
      </c>
      <c r="B369" s="9" t="s">
        <v>11</v>
      </c>
      <c r="C369" s="10" t="str">
        <f>CONCATENATE('Элемент выш мат'!BQ353)</f>
        <v/>
      </c>
      <c r="D369" s="8">
        <f>'Элемент выш мат'!BR17</f>
        <v>3.3333333333333335</v>
      </c>
      <c r="E369" s="6">
        <f>'Элемент выш мат'!BS17</f>
        <v>1</v>
      </c>
      <c r="F369" s="6">
        <f>'Элемент выш мат'!BT17</f>
        <v>15</v>
      </c>
    </row>
    <row r="370" spans="1:6" ht="30">
      <c r="A370" s="6">
        <v>6</v>
      </c>
      <c r="B370" s="9" t="s">
        <v>12</v>
      </c>
      <c r="C370" s="10" t="str">
        <f>CONCATENATE('арх.ап.средств'!AP352)</f>
        <v/>
      </c>
      <c r="D370" s="8">
        <f>'арх.ап.средств'!AQ17</f>
        <v>3</v>
      </c>
      <c r="E370" s="6">
        <f>'арх.ап.средств'!AR17</f>
        <v>0</v>
      </c>
      <c r="F370" s="6">
        <f>'арх.ап.средств'!AS17</f>
        <v>0</v>
      </c>
    </row>
    <row r="371" spans="1:6">
      <c r="A371" s="6">
        <v>7</v>
      </c>
      <c r="B371" s="9" t="s">
        <v>13</v>
      </c>
      <c r="C371" s="10" t="str">
        <f>CONCATENATE('Опер.систем-среды'!AV353)</f>
        <v/>
      </c>
      <c r="D371" s="8">
        <f>'Опер.систем-среды'!AW17</f>
        <v>3.5</v>
      </c>
      <c r="E371" s="6">
        <f>'Опер.систем-среды'!AX17</f>
        <v>0</v>
      </c>
      <c r="F371" s="6">
        <f>'Опер.систем-среды'!AY17</f>
        <v>12</v>
      </c>
    </row>
    <row r="372" spans="1:6" ht="30">
      <c r="A372" s="6">
        <v>8</v>
      </c>
      <c r="B372" s="9" t="s">
        <v>14</v>
      </c>
      <c r="C372" s="10" t="str">
        <f>CONCATENATE('Основы алгоритмизации'!CC353)</f>
        <v/>
      </c>
      <c r="D372" s="8">
        <f>'Основы алгоритмизации'!CD17</f>
        <v>2.75</v>
      </c>
      <c r="E372" s="6">
        <f>'Основы алгоритмизации'!CE17</f>
        <v>2</v>
      </c>
      <c r="F372" s="6">
        <f>'Основы алгоритмизации'!CF17</f>
        <v>8</v>
      </c>
    </row>
    <row r="373" spans="1:6" ht="30">
      <c r="A373" s="6">
        <v>9</v>
      </c>
      <c r="B373" s="9" t="s">
        <v>16</v>
      </c>
      <c r="C373" s="10" t="str">
        <f>CONCATENATE('Осн.пр.Базы данных'!BB353)</f>
        <v/>
      </c>
      <c r="D373" s="8">
        <f>'Осн.пр.Базы данных'!BC17</f>
        <v>3.5</v>
      </c>
      <c r="E373" s="6">
        <f>'Осн.пр.Базы данных'!BD17</f>
        <v>0</v>
      </c>
      <c r="F373" s="6">
        <f>'Осн.пр.Базы данных'!BE17</f>
        <v>6</v>
      </c>
    </row>
    <row r="374" spans="1:6">
      <c r="A374" s="6">
        <v>10</v>
      </c>
      <c r="B374" s="9" t="s">
        <v>17</v>
      </c>
      <c r="C374" s="10" t="str">
        <f>CONCATENATE('Числ метод'!AI353)</f>
        <v/>
      </c>
      <c r="D374" s="8">
        <f>'Числ метод'!AJ17</f>
        <v>2.4</v>
      </c>
      <c r="E374" s="6">
        <f>'Числ метод'!AK17</f>
        <v>0</v>
      </c>
      <c r="F374" s="6">
        <f>'Числ метод'!AL17</f>
        <v>0</v>
      </c>
    </row>
    <row r="375" spans="1:6">
      <c r="A375" s="6">
        <v>11</v>
      </c>
      <c r="B375" s="9" t="s">
        <v>18</v>
      </c>
      <c r="C375" s="11" t="str">
        <f>CONCATENATE('Комп сеть'!Y353)</f>
        <v/>
      </c>
      <c r="D375" s="12">
        <f>'Комп сеть'!Z17</f>
        <v>3.8888888888888888</v>
      </c>
      <c r="E375" s="13">
        <f>'Комп сеть'!AA17</f>
        <v>1</v>
      </c>
      <c r="F375" s="13">
        <f>'Комп сеть'!AB17</f>
        <v>1</v>
      </c>
    </row>
    <row r="376" spans="1:6" ht="30">
      <c r="A376" s="6">
        <v>12</v>
      </c>
      <c r="B376" s="9" t="s">
        <v>19</v>
      </c>
      <c r="C376" s="11" t="str">
        <f>CONCATENATE('Теор.вероят и мат.стат'!BX353)</f>
        <v/>
      </c>
      <c r="D376" s="12">
        <f>'Теор.вероят и мат.стат'!BY17</f>
        <v>3.25</v>
      </c>
      <c r="E376" s="13">
        <f>'Теор.вероят и мат.стат'!BZ17</f>
        <v>0</v>
      </c>
      <c r="F376" s="13">
        <f>'Теор.вероят и мат.стат'!CA17</f>
        <v>4</v>
      </c>
    </row>
    <row r="377" spans="1:6">
      <c r="A377" s="6">
        <v>13</v>
      </c>
      <c r="B377" s="9" t="s">
        <v>20</v>
      </c>
      <c r="C377" s="11" t="str">
        <f>CONCATENATE('Дискрет.мат '!BQ353)</f>
        <v/>
      </c>
      <c r="D377" s="12">
        <f>'Дискрет.мат '!BR17</f>
        <v>2</v>
      </c>
      <c r="E377" s="13">
        <f>'Дискрет.мат '!BS17</f>
        <v>0</v>
      </c>
      <c r="F377" s="13">
        <f>'Дискрет.мат '!BT17</f>
        <v>6</v>
      </c>
    </row>
    <row r="378" spans="1:6" ht="30">
      <c r="A378" s="6">
        <v>14</v>
      </c>
      <c r="B378" s="9" t="s">
        <v>21</v>
      </c>
      <c r="C378" s="14" t="str">
        <f>CONCATENATE('Разработка кода ИС'!AO353)</f>
        <v/>
      </c>
      <c r="D378" s="15">
        <f>'Разработка кода ИС'!AP17</f>
        <v>2</v>
      </c>
      <c r="E378" s="16">
        <f>'Разработка кода ИС'!AQ17</f>
        <v>0</v>
      </c>
      <c r="F378" s="16">
        <f>'Разработка кода ИС'!AR17</f>
        <v>4</v>
      </c>
    </row>
    <row r="379" spans="1:6" ht="30">
      <c r="A379" s="6">
        <v>15</v>
      </c>
      <c r="B379" s="9" t="s">
        <v>22</v>
      </c>
      <c r="C379" s="1268"/>
      <c r="D379" s="8" t="str">
        <f>'Внедр.подд.комп.систем'!BC17</f>
        <v>Нет оценок</v>
      </c>
      <c r="E379" s="6">
        <f>'Внедр.подд.комп.систем'!BD17</f>
        <v>0</v>
      </c>
      <c r="F379" s="6">
        <f>'Внедр.подд.комп.систем'!BE17</f>
        <v>0</v>
      </c>
    </row>
    <row r="380" spans="1:6" ht="45">
      <c r="A380" s="6">
        <v>16</v>
      </c>
      <c r="B380" s="9" t="s">
        <v>23</v>
      </c>
      <c r="C380" s="1270"/>
      <c r="D380" s="8">
        <f>'Тестирование ИС'!CA17</f>
        <v>5</v>
      </c>
      <c r="E380" s="6">
        <f>'Тестирование ИС'!CB17</f>
        <v>0</v>
      </c>
      <c r="F380" s="6">
        <f>'Тестирование ИС'!CC17</f>
        <v>3</v>
      </c>
    </row>
    <row r="381" spans="1:6">
      <c r="A381" s="6">
        <v>17</v>
      </c>
      <c r="B381" s="9" t="s">
        <v>24</v>
      </c>
      <c r="C381" s="1270"/>
      <c r="D381" s="8" t="str">
        <f>Псих.общ!BW17</f>
        <v>Нет оценок</v>
      </c>
      <c r="E381" s="6">
        <f>Псих.общ!BX17</f>
        <v>0</v>
      </c>
      <c r="F381" s="6">
        <f>Псих.общ!BY17</f>
        <v>6</v>
      </c>
    </row>
    <row r="382" spans="1:6" ht="30">
      <c r="A382" s="17">
        <v>18</v>
      </c>
      <c r="B382" s="18" t="s">
        <v>25</v>
      </c>
      <c r="C382" s="1270"/>
      <c r="D382" s="19" t="str">
        <f>'Тех.разра.БД'!AA17</f>
        <v>Нет оценок</v>
      </c>
      <c r="E382" s="17">
        <f>'Тех.разра.БД'!AB17</f>
        <v>0</v>
      </c>
      <c r="F382" s="17">
        <f>'Тех.разра.БД'!AC17</f>
        <v>0</v>
      </c>
    </row>
    <row r="383" spans="1:6">
      <c r="A383" s="6">
        <v>19</v>
      </c>
      <c r="B383" s="18" t="s">
        <v>26</v>
      </c>
      <c r="C383" s="13"/>
      <c r="D383" s="19">
        <f>БЖ!AA17</f>
        <v>3</v>
      </c>
      <c r="E383" s="17">
        <f>БЖ!AB17</f>
        <v>0</v>
      </c>
      <c r="F383" s="17">
        <f>БЖ!AC17</f>
        <v>10</v>
      </c>
    </row>
    <row r="384" spans="1:6" s="5" customFormat="1" ht="30">
      <c r="A384" s="1469" t="s">
        <v>27</v>
      </c>
      <c r="B384" s="1468" t="s">
        <v>634</v>
      </c>
      <c r="C384" s="13">
        <f>'Граф диз и мульт'!Z17</f>
        <v>0</v>
      </c>
      <c r="D384" s="8">
        <f>'Граф диз и мульт'!AA17</f>
        <v>4</v>
      </c>
      <c r="E384" s="6">
        <f>'Граф диз и мульт'!AB17</f>
        <v>0</v>
      </c>
      <c r="F384" s="6">
        <f>'Граф диз и мульт'!AC17</f>
        <v>3</v>
      </c>
    </row>
    <row r="385" spans="1:6" ht="30">
      <c r="A385" s="1469" t="s">
        <v>86</v>
      </c>
      <c r="B385" s="7" t="s">
        <v>28</v>
      </c>
      <c r="C385" s="13"/>
      <c r="D385" s="8">
        <f>'Проектирование и дизайн ИС'!AP17</f>
        <v>4</v>
      </c>
      <c r="E385" s="6">
        <f>'Проектирование и дизайн ИС'!AQ17</f>
        <v>0</v>
      </c>
      <c r="F385" s="6">
        <f>'Проектирование и дизайн ИС'!AR17</f>
        <v>12</v>
      </c>
    </row>
    <row r="386" spans="1:6" ht="15.75">
      <c r="A386" s="21"/>
      <c r="B386" s="21"/>
      <c r="C386" s="21"/>
      <c r="D386" s="22">
        <f>IFERROR(AVERAGE(D365:D385),"")</f>
        <v>3.2639329805996469</v>
      </c>
      <c r="E386" s="23">
        <f>SUM(E365:E385)</f>
        <v>4</v>
      </c>
      <c r="F386" s="23">
        <f>SUM(F365:F385)</f>
        <v>118</v>
      </c>
    </row>
    <row r="387" spans="1:6" ht="15.75">
      <c r="A387" s="21"/>
      <c r="B387" s="21"/>
      <c r="C387" s="21"/>
      <c r="D387" s="24"/>
      <c r="E387" s="1271" t="s">
        <v>29</v>
      </c>
      <c r="F387" s="1272"/>
    </row>
    <row r="388" spans="1:6" ht="15.75">
      <c r="A388" s="21"/>
      <c r="B388" s="21"/>
      <c r="C388" s="21"/>
      <c r="D388" s="24"/>
      <c r="E388" s="1273">
        <f>SUM(E386:F386)</f>
        <v>122</v>
      </c>
      <c r="F388" s="1274"/>
    </row>
    <row r="389" spans="1:6" ht="15.75">
      <c r="A389" s="1"/>
      <c r="B389" s="1"/>
      <c r="C389" s="1"/>
      <c r="D389" s="1"/>
      <c r="E389" s="1"/>
      <c r="F389" s="1"/>
    </row>
    <row r="390" spans="1:6" ht="15.75">
      <c r="A390" s="1260" t="str">
        <f>Ин.яз!B18</f>
        <v>Носков Ярослав Евгеньевич</v>
      </c>
      <c r="B390" s="1261"/>
      <c r="C390" s="1261"/>
      <c r="D390" s="1261"/>
      <c r="E390" s="1261"/>
      <c r="F390" s="1262"/>
    </row>
    <row r="391" spans="1:6">
      <c r="A391" s="1263">
        <f ca="1">TODAY()</f>
        <v>46120</v>
      </c>
      <c r="B391" s="1264"/>
      <c r="C391" s="1264"/>
      <c r="D391" s="1265"/>
      <c r="E391" s="1266" t="s">
        <v>0</v>
      </c>
      <c r="F391" s="1267"/>
    </row>
    <row r="392" spans="1:6" ht="28.5">
      <c r="A392" s="2">
        <v>18</v>
      </c>
      <c r="B392" s="2" t="s">
        <v>2</v>
      </c>
      <c r="C392" s="3" t="s">
        <v>3</v>
      </c>
      <c r="D392" s="4" t="s">
        <v>4</v>
      </c>
      <c r="E392" s="4" t="s">
        <v>5</v>
      </c>
      <c r="F392" s="4" t="s">
        <v>6</v>
      </c>
    </row>
    <row r="393" spans="1:6" ht="30">
      <c r="A393" s="6">
        <v>1</v>
      </c>
      <c r="B393" s="7" t="s">
        <v>7</v>
      </c>
      <c r="C393" s="1268"/>
      <c r="D393" s="8">
        <f>Ин.яз!AN18</f>
        <v>3.6923076923076925</v>
      </c>
      <c r="E393" s="6">
        <f>Ин.яз!AO18</f>
        <v>0</v>
      </c>
      <c r="F393" s="6">
        <f>Ин.яз!AP18</f>
        <v>4</v>
      </c>
    </row>
    <row r="394" spans="1:6">
      <c r="A394" s="6">
        <v>2</v>
      </c>
      <c r="B394" s="9" t="s">
        <v>8</v>
      </c>
      <c r="C394" s="1269"/>
      <c r="D394" s="8">
        <f>Физ.ра!BL18</f>
        <v>4.8571428571428568</v>
      </c>
      <c r="E394" s="6">
        <f>Физ.ра!BM18</f>
        <v>0</v>
      </c>
      <c r="F394" s="6">
        <f>Физ.ра!BN18</f>
        <v>1</v>
      </c>
    </row>
    <row r="395" spans="1:6">
      <c r="A395" s="6">
        <v>3</v>
      </c>
      <c r="B395" s="9" t="s">
        <v>9</v>
      </c>
      <c r="C395" s="10" t="str">
        <f>CONCATENATE(История!AC380)</f>
        <v/>
      </c>
      <c r="D395" s="8">
        <f>История!AD18</f>
        <v>4.2857142857142856</v>
      </c>
      <c r="E395" s="6">
        <f>История!AE18</f>
        <v>0</v>
      </c>
      <c r="F395" s="6">
        <f>История!AF18</f>
        <v>0</v>
      </c>
    </row>
    <row r="396" spans="1:6" ht="30">
      <c r="A396" s="6">
        <v>4</v>
      </c>
      <c r="B396" s="9" t="s">
        <v>10</v>
      </c>
      <c r="C396" s="10" t="str">
        <f>CONCATENATE(ПиРИП!AP381)</f>
        <v/>
      </c>
      <c r="D396" s="8">
        <f>ПиРИП!AQ18</f>
        <v>4.4285714285714288</v>
      </c>
      <c r="E396" s="6">
        <f>ПиРИП!AR18</f>
        <v>0</v>
      </c>
      <c r="F396" s="6">
        <f>ПиРИП!AS18</f>
        <v>3</v>
      </c>
    </row>
    <row r="397" spans="1:6">
      <c r="A397" s="6">
        <v>5</v>
      </c>
      <c r="B397" s="9" t="s">
        <v>11</v>
      </c>
      <c r="C397" s="10" t="str">
        <f>CONCATENATE('Элемент выш мат'!BQ380)</f>
        <v/>
      </c>
      <c r="D397" s="8">
        <f>'Элемент выш мат'!BR18</f>
        <v>3</v>
      </c>
      <c r="E397" s="6">
        <f>'Элемент выш мат'!BS18</f>
        <v>0</v>
      </c>
      <c r="F397" s="6">
        <f>'Элемент выш мат'!BT18</f>
        <v>6</v>
      </c>
    </row>
    <row r="398" spans="1:6" ht="30">
      <c r="A398" s="6">
        <v>6</v>
      </c>
      <c r="B398" s="9" t="s">
        <v>12</v>
      </c>
      <c r="C398" s="10" t="str">
        <f>CONCATENATE('арх.ап.средств'!AP379)</f>
        <v/>
      </c>
      <c r="D398" s="8">
        <f>'арх.ап.средств'!AQ18</f>
        <v>5</v>
      </c>
      <c r="E398" s="6">
        <f>'арх.ап.средств'!AR18</f>
        <v>1</v>
      </c>
      <c r="F398" s="6">
        <f>'арх.ап.средств'!AS18</f>
        <v>5</v>
      </c>
    </row>
    <row r="399" spans="1:6">
      <c r="A399" s="6">
        <v>7</v>
      </c>
      <c r="B399" s="9" t="s">
        <v>13</v>
      </c>
      <c r="C399" s="10" t="str">
        <f>CONCATENATE('Опер.систем-среды'!AV380)</f>
        <v/>
      </c>
      <c r="D399" s="8">
        <f>'Опер.систем-среды'!AW18</f>
        <v>5</v>
      </c>
      <c r="E399" s="6">
        <f>'Опер.систем-среды'!AX18</f>
        <v>0</v>
      </c>
      <c r="F399" s="6">
        <f>'Опер.систем-среды'!AY18</f>
        <v>2</v>
      </c>
    </row>
    <row r="400" spans="1:6" ht="30">
      <c r="A400" s="6">
        <v>8</v>
      </c>
      <c r="B400" s="9" t="s">
        <v>14</v>
      </c>
      <c r="C400" s="10" t="str">
        <f>CONCATENATE('Основы алгоритмизации'!CC380)</f>
        <v/>
      </c>
      <c r="D400" s="8">
        <f>'Основы алгоритмизации'!CD18</f>
        <v>2.3636363636363638</v>
      </c>
      <c r="E400" s="6">
        <f>'Основы алгоритмизации'!CE18</f>
        <v>0</v>
      </c>
      <c r="F400" s="6">
        <f>'Основы алгоритмизации'!CF18</f>
        <v>5</v>
      </c>
    </row>
    <row r="401" spans="1:6" ht="30">
      <c r="A401" s="6">
        <v>9</v>
      </c>
      <c r="B401" s="9" t="s">
        <v>16</v>
      </c>
      <c r="C401" s="10" t="str">
        <f>CONCATENATE('Осн.пр.Базы данных'!BB380)</f>
        <v/>
      </c>
      <c r="D401" s="8">
        <f>'Осн.пр.Базы данных'!BC18</f>
        <v>2.25</v>
      </c>
      <c r="E401" s="6">
        <f>'Осн.пр.Базы данных'!BD18</f>
        <v>0</v>
      </c>
      <c r="F401" s="6">
        <f>'Осн.пр.Базы данных'!BE18</f>
        <v>3</v>
      </c>
    </row>
    <row r="402" spans="1:6">
      <c r="A402" s="6">
        <v>10</v>
      </c>
      <c r="B402" s="9" t="s">
        <v>17</v>
      </c>
      <c r="C402" s="10" t="str">
        <f>CONCATENATE('Числ метод'!AI380)</f>
        <v/>
      </c>
      <c r="D402" s="8">
        <f>'Числ метод'!AJ18</f>
        <v>2.5714285714285716</v>
      </c>
      <c r="E402" s="6">
        <f>'Числ метод'!AK18</f>
        <v>0</v>
      </c>
      <c r="F402" s="6">
        <f>'Числ метод'!AL18</f>
        <v>2</v>
      </c>
    </row>
    <row r="403" spans="1:6">
      <c r="A403" s="6">
        <v>11</v>
      </c>
      <c r="B403" s="9" t="s">
        <v>18</v>
      </c>
      <c r="C403" s="11" t="str">
        <f>CONCATENATE('Комп сеть'!Y380)</f>
        <v/>
      </c>
      <c r="D403" s="12">
        <f>'Комп сеть'!Z18</f>
        <v>4.1875</v>
      </c>
      <c r="E403" s="13">
        <f>'Комп сеть'!AA18</f>
        <v>0</v>
      </c>
      <c r="F403" s="13">
        <f>'Комп сеть'!AB18</f>
        <v>0</v>
      </c>
    </row>
    <row r="404" spans="1:6" ht="30">
      <c r="A404" s="6">
        <v>12</v>
      </c>
      <c r="B404" s="9" t="s">
        <v>19</v>
      </c>
      <c r="C404" s="11" t="str">
        <f>CONCATENATE('Теор.вероят и мат.стат'!BX380)</f>
        <v/>
      </c>
      <c r="D404" s="12">
        <f>'Теор.вероят и мат.стат'!BY18</f>
        <v>2</v>
      </c>
      <c r="E404" s="13">
        <f>'Теор.вероят и мат.стат'!BZ18</f>
        <v>0</v>
      </c>
      <c r="F404" s="13">
        <f>'Теор.вероят и мат.стат'!CA18</f>
        <v>4</v>
      </c>
    </row>
    <row r="405" spans="1:6">
      <c r="A405" s="6">
        <v>13</v>
      </c>
      <c r="B405" s="9" t="s">
        <v>20</v>
      </c>
      <c r="C405" s="11" t="str">
        <f>CONCATENATE('Дискрет.мат '!BQ380)</f>
        <v/>
      </c>
      <c r="D405" s="12">
        <f>'Дискрет.мат '!BR18</f>
        <v>2</v>
      </c>
      <c r="E405" s="13">
        <f>'Дискрет.мат '!BS18</f>
        <v>0</v>
      </c>
      <c r="F405" s="13">
        <f>'Дискрет.мат '!BT18</f>
        <v>3</v>
      </c>
    </row>
    <row r="406" spans="1:6" ht="30">
      <c r="A406" s="6">
        <v>14</v>
      </c>
      <c r="B406" s="9" t="s">
        <v>21</v>
      </c>
      <c r="C406" s="14" t="str">
        <f>CONCATENATE('Разработка кода ИС'!AO380)</f>
        <v/>
      </c>
      <c r="D406" s="15">
        <f>'Разработка кода ИС'!AP18</f>
        <v>2</v>
      </c>
      <c r="E406" s="16">
        <f>'Разработка кода ИС'!AQ18</f>
        <v>0</v>
      </c>
      <c r="F406" s="16">
        <f>'Разработка кода ИС'!AR18</f>
        <v>0</v>
      </c>
    </row>
    <row r="407" spans="1:6" ht="30">
      <c r="A407" s="6">
        <v>15</v>
      </c>
      <c r="B407" s="9" t="s">
        <v>22</v>
      </c>
      <c r="C407" s="1268"/>
      <c r="D407" s="8" t="str">
        <f>'Внедр.подд.комп.систем'!BC18</f>
        <v>Нет оценок</v>
      </c>
      <c r="E407" s="6">
        <f>'Внедр.подд.комп.систем'!BD18</f>
        <v>0</v>
      </c>
      <c r="F407" s="6">
        <f>'Внедр.подд.комп.систем'!BE18</f>
        <v>0</v>
      </c>
    </row>
    <row r="408" spans="1:6" ht="45">
      <c r="A408" s="6">
        <v>16</v>
      </c>
      <c r="B408" s="9" t="s">
        <v>23</v>
      </c>
      <c r="C408" s="1270"/>
      <c r="D408" s="8" t="str">
        <f>'Тестирование ИС'!CA18</f>
        <v>Нет оценок</v>
      </c>
      <c r="E408" s="6">
        <f>'Тестирование ИС'!CB18</f>
        <v>0</v>
      </c>
      <c r="F408" s="6">
        <f>'Тестирование ИС'!CC18</f>
        <v>3</v>
      </c>
    </row>
    <row r="409" spans="1:6">
      <c r="A409" s="6">
        <v>17</v>
      </c>
      <c r="B409" s="9" t="s">
        <v>24</v>
      </c>
      <c r="C409" s="1270"/>
      <c r="D409" s="8">
        <f>Псих.общ!BW18</f>
        <v>4</v>
      </c>
      <c r="E409" s="6">
        <f>Псих.общ!BX18</f>
        <v>0</v>
      </c>
      <c r="F409" s="6">
        <f>Псих.общ!BY18</f>
        <v>3</v>
      </c>
    </row>
    <row r="410" spans="1:6" ht="30">
      <c r="A410" s="17">
        <v>18</v>
      </c>
      <c r="B410" s="18" t="s">
        <v>25</v>
      </c>
      <c r="C410" s="1270"/>
      <c r="D410" s="19" t="str">
        <f>'Тех.разра.БД'!AA18</f>
        <v>Нет оценок</v>
      </c>
      <c r="E410" s="17">
        <f>'Тех.разра.БД'!AB18</f>
        <v>0</v>
      </c>
      <c r="F410" s="17">
        <f>'Тех.разра.БД'!AC18</f>
        <v>0</v>
      </c>
    </row>
    <row r="411" spans="1:6">
      <c r="A411" s="6">
        <v>19</v>
      </c>
      <c r="B411" s="18" t="s">
        <v>26</v>
      </c>
      <c r="C411" s="13"/>
      <c r="D411" s="19">
        <f>БЖ!AA18</f>
        <v>3.625</v>
      </c>
      <c r="E411" s="17">
        <f>БЖ!AB18</f>
        <v>0</v>
      </c>
      <c r="F411" s="17">
        <f>БЖ!AC18</f>
        <v>0</v>
      </c>
    </row>
    <row r="412" spans="1:6" s="5" customFormat="1" ht="30">
      <c r="A412" s="1469" t="s">
        <v>27</v>
      </c>
      <c r="B412" s="1468" t="s">
        <v>634</v>
      </c>
      <c r="C412" s="13">
        <f>'Граф диз и мульт'!Z18</f>
        <v>0</v>
      </c>
      <c r="D412" s="8">
        <f>'Граф диз и мульт'!AA18</f>
        <v>4.4000000000000004</v>
      </c>
      <c r="E412" s="6">
        <f>'Граф диз и мульт'!AB18</f>
        <v>0</v>
      </c>
      <c r="F412" s="6">
        <f>'Граф диз и мульт'!AC18</f>
        <v>0</v>
      </c>
    </row>
    <row r="413" spans="1:6" ht="30">
      <c r="A413" s="1469" t="s">
        <v>86</v>
      </c>
      <c r="B413" s="7" t="s">
        <v>28</v>
      </c>
      <c r="C413" s="13"/>
      <c r="D413" s="8">
        <f>'Проектирование и дизайн ИС'!AP18</f>
        <v>4.1538461538461542</v>
      </c>
      <c r="E413" s="6">
        <f>'Проектирование и дизайн ИС'!AQ18</f>
        <v>0</v>
      </c>
      <c r="F413" s="6">
        <f>'Проектирование и дизайн ИС'!AR18</f>
        <v>0</v>
      </c>
    </row>
    <row r="414" spans="1:6" ht="15.75">
      <c r="A414" s="21"/>
      <c r="B414" s="21"/>
      <c r="C414" s="21"/>
      <c r="D414" s="22">
        <f>IFERROR(AVERAGE(D393:D413),"")</f>
        <v>3.5452859640359637</v>
      </c>
      <c r="E414" s="23">
        <f>SUM(E393:E413)</f>
        <v>1</v>
      </c>
      <c r="F414" s="23">
        <f>SUM(F393:F413)</f>
        <v>44</v>
      </c>
    </row>
    <row r="415" spans="1:6" ht="15.75">
      <c r="A415" s="21"/>
      <c r="B415" s="21"/>
      <c r="C415" s="21"/>
      <c r="D415" s="24"/>
      <c r="E415" s="1271" t="s">
        <v>29</v>
      </c>
      <c r="F415" s="1272"/>
    </row>
    <row r="416" spans="1:6" ht="15.75">
      <c r="A416" s="21"/>
      <c r="B416" s="21"/>
      <c r="C416" s="21"/>
      <c r="D416" s="24"/>
      <c r="E416" s="1273">
        <f>SUM(E414:F414)</f>
        <v>45</v>
      </c>
      <c r="F416" s="1274"/>
    </row>
    <row r="417" spans="1:6" ht="15.75">
      <c r="A417" s="1"/>
      <c r="B417" s="1"/>
      <c r="C417" s="1"/>
      <c r="D417" s="1"/>
      <c r="E417" s="1"/>
      <c r="F417" s="1"/>
    </row>
    <row r="418" spans="1:6" ht="15.75">
      <c r="A418" s="1260" t="str">
        <f>Ин.яз!B19</f>
        <v>Осыка Владислав Сергеевич</v>
      </c>
      <c r="B418" s="1261"/>
      <c r="C418" s="1261"/>
      <c r="D418" s="1261"/>
      <c r="E418" s="1261"/>
      <c r="F418" s="1262"/>
    </row>
    <row r="419" spans="1:6">
      <c r="A419" s="1263">
        <f ca="1">TODAY()</f>
        <v>46120</v>
      </c>
      <c r="B419" s="1264"/>
      <c r="C419" s="1264"/>
      <c r="D419" s="1265"/>
      <c r="E419" s="1266" t="s">
        <v>0</v>
      </c>
      <c r="F419" s="1267"/>
    </row>
    <row r="420" spans="1:6" ht="28.5">
      <c r="A420" s="2">
        <v>18</v>
      </c>
      <c r="B420" s="2" t="s">
        <v>2</v>
      </c>
      <c r="C420" s="3" t="s">
        <v>3</v>
      </c>
      <c r="D420" s="4" t="s">
        <v>4</v>
      </c>
      <c r="E420" s="4" t="s">
        <v>5</v>
      </c>
      <c r="F420" s="4" t="s">
        <v>6</v>
      </c>
    </row>
    <row r="421" spans="1:6" ht="30">
      <c r="A421" s="6">
        <v>1</v>
      </c>
      <c r="B421" s="7" t="s">
        <v>7</v>
      </c>
      <c r="C421" s="1268"/>
      <c r="D421" s="8">
        <f>Ин.яз!AN19</f>
        <v>3.5</v>
      </c>
      <c r="E421" s="6">
        <f>Ин.яз!AO19</f>
        <v>0</v>
      </c>
      <c r="F421" s="6">
        <f>Ин.яз!AP19</f>
        <v>3</v>
      </c>
    </row>
    <row r="422" spans="1:6">
      <c r="A422" s="6">
        <v>2</v>
      </c>
      <c r="B422" s="9" t="s">
        <v>8</v>
      </c>
      <c r="C422" s="1269"/>
      <c r="D422" s="8">
        <f>Физ.ра!BL19</f>
        <v>4.8125</v>
      </c>
      <c r="E422" s="6">
        <f>Физ.ра!BM19</f>
        <v>0</v>
      </c>
      <c r="F422" s="6">
        <f>Физ.ра!BN19</f>
        <v>0</v>
      </c>
    </row>
    <row r="423" spans="1:6">
      <c r="A423" s="6">
        <v>3</v>
      </c>
      <c r="B423" s="9" t="s">
        <v>9</v>
      </c>
      <c r="C423" s="10" t="str">
        <f>CONCATENATE(История!AC407)</f>
        <v/>
      </c>
      <c r="D423" s="8">
        <f>История!AD19</f>
        <v>4</v>
      </c>
      <c r="E423" s="6">
        <f>История!AE19</f>
        <v>0</v>
      </c>
      <c r="F423" s="6">
        <f>История!AF19</f>
        <v>0</v>
      </c>
    </row>
    <row r="424" spans="1:6" ht="30">
      <c r="A424" s="6">
        <v>4</v>
      </c>
      <c r="B424" s="9" t="s">
        <v>10</v>
      </c>
      <c r="C424" s="10" t="str">
        <f>CONCATENATE(ПиРИП!AP408)</f>
        <v/>
      </c>
      <c r="D424" s="8">
        <f>ПиРИП!AQ19</f>
        <v>4.333333333333333</v>
      </c>
      <c r="E424" s="6">
        <f>ПиРИП!AR19</f>
        <v>0</v>
      </c>
      <c r="F424" s="6">
        <f>ПиРИП!AS19</f>
        <v>1</v>
      </c>
    </row>
    <row r="425" spans="1:6">
      <c r="A425" s="6">
        <v>5</v>
      </c>
      <c r="B425" s="9" t="s">
        <v>11</v>
      </c>
      <c r="C425" s="10" t="str">
        <f>CONCATENATE('Элемент выш мат'!BQ407)</f>
        <v/>
      </c>
      <c r="D425" s="8">
        <f>'Элемент выш мат'!BR19</f>
        <v>3.3333333333333335</v>
      </c>
      <c r="E425" s="6">
        <f>'Элемент выш мат'!BS19</f>
        <v>0</v>
      </c>
      <c r="F425" s="6">
        <f>'Элемент выш мат'!BT19</f>
        <v>1</v>
      </c>
    </row>
    <row r="426" spans="1:6" ht="30">
      <c r="A426" s="6">
        <v>6</v>
      </c>
      <c r="B426" s="9" t="s">
        <v>12</v>
      </c>
      <c r="C426" s="10" t="str">
        <f>CONCATENATE('арх.ап.средств'!AP406)</f>
        <v/>
      </c>
      <c r="D426" s="8">
        <f>'арх.ап.средств'!AQ19</f>
        <v>4.5333333333333332</v>
      </c>
      <c r="E426" s="6">
        <f>'арх.ап.средств'!AR19</f>
        <v>0</v>
      </c>
      <c r="F426" s="6">
        <f>'арх.ап.средств'!AS19</f>
        <v>0</v>
      </c>
    </row>
    <row r="427" spans="1:6">
      <c r="A427" s="6">
        <v>7</v>
      </c>
      <c r="B427" s="9" t="s">
        <v>13</v>
      </c>
      <c r="C427" s="10" t="str">
        <f>CONCATENATE('Опер.систем-среды'!AV407)</f>
        <v/>
      </c>
      <c r="D427" s="8">
        <f>'Опер.систем-среды'!AW19</f>
        <v>4</v>
      </c>
      <c r="E427" s="6">
        <f>'Опер.систем-среды'!AX19</f>
        <v>1</v>
      </c>
      <c r="F427" s="6">
        <f>'Опер.систем-среды'!AY19</f>
        <v>0</v>
      </c>
    </row>
    <row r="428" spans="1:6" ht="30">
      <c r="A428" s="6">
        <v>8</v>
      </c>
      <c r="B428" s="9" t="s">
        <v>14</v>
      </c>
      <c r="C428" s="10" t="str">
        <f>CONCATENATE('Основы алгоритмизации'!CC407)</f>
        <v/>
      </c>
      <c r="D428" s="8">
        <f>'Основы алгоритмизации'!CD19</f>
        <v>2.6470588235294117</v>
      </c>
      <c r="E428" s="6">
        <f>'Основы алгоритмизации'!CE19</f>
        <v>0</v>
      </c>
      <c r="F428" s="6">
        <f>'Основы алгоритмизации'!CF19</f>
        <v>1</v>
      </c>
    </row>
    <row r="429" spans="1:6" ht="30">
      <c r="A429" s="6">
        <v>9</v>
      </c>
      <c r="B429" s="9" t="s">
        <v>16</v>
      </c>
      <c r="C429" s="10" t="str">
        <f>CONCATENATE('Осн.пр.Базы данных'!BB407)</f>
        <v/>
      </c>
      <c r="D429" s="8">
        <f>'Осн.пр.Базы данных'!BC19</f>
        <v>2.75</v>
      </c>
      <c r="E429" s="6">
        <f>'Осн.пр.Базы данных'!BD19</f>
        <v>0</v>
      </c>
      <c r="F429" s="6">
        <f>'Осн.пр.Базы данных'!BE19</f>
        <v>0</v>
      </c>
    </row>
    <row r="430" spans="1:6">
      <c r="A430" s="6">
        <v>10</v>
      </c>
      <c r="B430" s="9" t="s">
        <v>17</v>
      </c>
      <c r="C430" s="10" t="str">
        <f>CONCATENATE('Числ метод'!AI407)</f>
        <v/>
      </c>
      <c r="D430" s="8">
        <f>'Числ метод'!AJ19</f>
        <v>3.125</v>
      </c>
      <c r="E430" s="6">
        <f>'Числ метод'!AK19</f>
        <v>0</v>
      </c>
      <c r="F430" s="6">
        <f>'Числ метод'!AL19</f>
        <v>0</v>
      </c>
    </row>
    <row r="431" spans="1:6">
      <c r="A431" s="6">
        <v>11</v>
      </c>
      <c r="B431" s="9" t="s">
        <v>18</v>
      </c>
      <c r="C431" s="11" t="str">
        <f>CONCATENATE('Комп сеть'!Y407)</f>
        <v/>
      </c>
      <c r="D431" s="12">
        <f>'Комп сеть'!Z19</f>
        <v>4.4117647058823533</v>
      </c>
      <c r="E431" s="13">
        <f>'Комп сеть'!AA19</f>
        <v>0</v>
      </c>
      <c r="F431" s="13">
        <f>'Комп сеть'!AB19</f>
        <v>0</v>
      </c>
    </row>
    <row r="432" spans="1:6" ht="30">
      <c r="A432" s="6">
        <v>12</v>
      </c>
      <c r="B432" s="9" t="s">
        <v>19</v>
      </c>
      <c r="C432" s="11" t="str">
        <f>CONCATENATE('Теор.вероят и мат.стат'!BX407)</f>
        <v/>
      </c>
      <c r="D432" s="12">
        <f>'Теор.вероят и мат.стат'!BY19</f>
        <v>3.6</v>
      </c>
      <c r="E432" s="13">
        <f>'Теор.вероят и мат.стат'!BZ19</f>
        <v>0</v>
      </c>
      <c r="F432" s="13">
        <f>'Теор.вероят и мат.стат'!CA19</f>
        <v>2</v>
      </c>
    </row>
    <row r="433" spans="1:6">
      <c r="A433" s="6">
        <v>13</v>
      </c>
      <c r="B433" s="9" t="s">
        <v>20</v>
      </c>
      <c r="C433" s="11" t="str">
        <f>CONCATENATE('Дискрет.мат '!BQ407)</f>
        <v/>
      </c>
      <c r="D433" s="12">
        <f>'Дискрет.мат '!BR19</f>
        <v>5</v>
      </c>
      <c r="E433" s="13">
        <f>'Дискрет.мат '!BS19</f>
        <v>0</v>
      </c>
      <c r="F433" s="13">
        <f>'Дискрет.мат '!BT19</f>
        <v>1</v>
      </c>
    </row>
    <row r="434" spans="1:6" ht="30">
      <c r="A434" s="6">
        <v>14</v>
      </c>
      <c r="B434" s="9" t="s">
        <v>21</v>
      </c>
      <c r="C434" s="14" t="str">
        <f>CONCATENATE('Разработка кода ИС'!AO407)</f>
        <v/>
      </c>
      <c r="D434" s="15">
        <f>'Разработка кода ИС'!AP19</f>
        <v>2</v>
      </c>
      <c r="E434" s="16">
        <f>'Разработка кода ИС'!AQ19</f>
        <v>0</v>
      </c>
      <c r="F434" s="16">
        <f>'Разработка кода ИС'!AR19</f>
        <v>2</v>
      </c>
    </row>
    <row r="435" spans="1:6" ht="30">
      <c r="A435" s="6">
        <v>15</v>
      </c>
      <c r="B435" s="9" t="s">
        <v>22</v>
      </c>
      <c r="C435" s="1268"/>
      <c r="D435" s="8" t="str">
        <f>'Внедр.подд.комп.систем'!BC19</f>
        <v>Нет оценок</v>
      </c>
      <c r="E435" s="6">
        <f>'Внедр.подд.комп.систем'!BD19</f>
        <v>0</v>
      </c>
      <c r="F435" s="6">
        <f>'Внедр.подд.комп.систем'!BE19</f>
        <v>0</v>
      </c>
    </row>
    <row r="436" spans="1:6" ht="45">
      <c r="A436" s="6">
        <v>16</v>
      </c>
      <c r="B436" s="9" t="s">
        <v>23</v>
      </c>
      <c r="C436" s="1270"/>
      <c r="D436" s="8">
        <f>'Тестирование ИС'!CA19</f>
        <v>5</v>
      </c>
      <c r="E436" s="6">
        <f>'Тестирование ИС'!CB19</f>
        <v>0</v>
      </c>
      <c r="F436" s="6">
        <f>'Тестирование ИС'!CC19</f>
        <v>1</v>
      </c>
    </row>
    <row r="437" spans="1:6">
      <c r="A437" s="6">
        <v>17</v>
      </c>
      <c r="B437" s="9" t="s">
        <v>24</v>
      </c>
      <c r="C437" s="1270"/>
      <c r="D437" s="8" t="str">
        <f>Псих.общ!BW19</f>
        <v>Нет оценок</v>
      </c>
      <c r="E437" s="6">
        <f>Псих.общ!BX19</f>
        <v>0</v>
      </c>
      <c r="F437" s="6">
        <f>Псих.общ!BY19</f>
        <v>3</v>
      </c>
    </row>
    <row r="438" spans="1:6" ht="30">
      <c r="A438" s="17">
        <v>18</v>
      </c>
      <c r="B438" s="18" t="s">
        <v>25</v>
      </c>
      <c r="C438" s="1270"/>
      <c r="D438" s="19" t="str">
        <f>'Тех.разра.БД'!AA19</f>
        <v>Нет оценок</v>
      </c>
      <c r="E438" s="17">
        <f>'Тех.разра.БД'!AB19</f>
        <v>0</v>
      </c>
      <c r="F438" s="17">
        <f>'Тех.разра.БД'!AC19</f>
        <v>0</v>
      </c>
    </row>
    <row r="439" spans="1:6">
      <c r="A439" s="6">
        <v>19</v>
      </c>
      <c r="B439" s="18" t="s">
        <v>26</v>
      </c>
      <c r="C439" s="13"/>
      <c r="D439" s="19">
        <f>БЖ!AA19</f>
        <v>3.3636363636363638</v>
      </c>
      <c r="E439" s="17">
        <f>БЖ!AB19</f>
        <v>0</v>
      </c>
      <c r="F439" s="17">
        <f>БЖ!AC19</f>
        <v>0</v>
      </c>
    </row>
    <row r="440" spans="1:6" s="5" customFormat="1" ht="30">
      <c r="A440" s="1469" t="s">
        <v>27</v>
      </c>
      <c r="B440" s="1468" t="s">
        <v>634</v>
      </c>
      <c r="C440" s="13">
        <f>'Граф диз и мульт'!Z19</f>
        <v>0</v>
      </c>
      <c r="D440" s="8">
        <f>'Граф диз и мульт'!AA19</f>
        <v>5</v>
      </c>
      <c r="E440" s="6">
        <f>'Граф диз и мульт'!AB19</f>
        <v>0</v>
      </c>
      <c r="F440" s="6">
        <f>'Граф диз и мульт'!AC19</f>
        <v>0</v>
      </c>
    </row>
    <row r="441" spans="1:6" ht="30">
      <c r="A441" s="1469" t="s">
        <v>86</v>
      </c>
      <c r="B441" s="7" t="s">
        <v>28</v>
      </c>
      <c r="C441" s="13"/>
      <c r="D441" s="8">
        <f>'Проектирование и дизайн ИС'!AP19</f>
        <v>4.5</v>
      </c>
      <c r="E441" s="6">
        <f>'Проектирование и дизайн ИС'!AQ19</f>
        <v>0</v>
      </c>
      <c r="F441" s="6">
        <f>'Проектирование и дизайн ИС'!AR19</f>
        <v>0</v>
      </c>
    </row>
    <row r="442" spans="1:6" ht="15.75">
      <c r="A442" s="21"/>
      <c r="B442" s="21"/>
      <c r="C442" s="21"/>
      <c r="D442" s="22">
        <f>IFERROR(AVERAGE(D421:D441),"")</f>
        <v>3.8838866607248956</v>
      </c>
      <c r="E442" s="23">
        <f>SUM(E421:E441)</f>
        <v>1</v>
      </c>
      <c r="F442" s="23">
        <f>SUM(F421:F441)</f>
        <v>15</v>
      </c>
    </row>
    <row r="443" spans="1:6" ht="15.75">
      <c r="A443" s="21"/>
      <c r="B443" s="21"/>
      <c r="C443" s="21"/>
      <c r="D443" s="24"/>
      <c r="E443" s="1271" t="s">
        <v>29</v>
      </c>
      <c r="F443" s="1272"/>
    </row>
    <row r="444" spans="1:6" ht="15.75">
      <c r="A444" s="21"/>
      <c r="B444" s="21"/>
      <c r="C444" s="21"/>
      <c r="D444" s="24"/>
      <c r="E444" s="1273">
        <f>SUM(E442:F442)</f>
        <v>16</v>
      </c>
      <c r="F444" s="1274"/>
    </row>
    <row r="445" spans="1:6" ht="15.75">
      <c r="A445" s="1"/>
      <c r="B445" s="1"/>
      <c r="C445" s="1"/>
      <c r="D445" s="1"/>
      <c r="E445" s="1"/>
      <c r="F445" s="1"/>
    </row>
    <row r="446" spans="1:6" ht="15.75">
      <c r="A446" s="1260" t="str">
        <f>Ин.яз!B20</f>
        <v>Романов Михаил Васильевич</v>
      </c>
      <c r="B446" s="1261"/>
      <c r="C446" s="1261"/>
      <c r="D446" s="1261"/>
      <c r="E446" s="1261"/>
      <c r="F446" s="1262"/>
    </row>
    <row r="447" spans="1:6">
      <c r="A447" s="1263">
        <f ca="1">TODAY()</f>
        <v>46120</v>
      </c>
      <c r="B447" s="1264"/>
      <c r="C447" s="1264"/>
      <c r="D447" s="1265"/>
      <c r="E447" s="1266" t="s">
        <v>0</v>
      </c>
      <c r="F447" s="1267"/>
    </row>
    <row r="448" spans="1:6" ht="28.5">
      <c r="A448" s="2">
        <v>18</v>
      </c>
      <c r="B448" s="2" t="s">
        <v>2</v>
      </c>
      <c r="C448" s="3" t="s">
        <v>3</v>
      </c>
      <c r="D448" s="4" t="s">
        <v>4</v>
      </c>
      <c r="E448" s="4" t="s">
        <v>5</v>
      </c>
      <c r="F448" s="4" t="s">
        <v>6</v>
      </c>
    </row>
    <row r="449" spans="1:6" ht="30">
      <c r="A449" s="6">
        <v>1</v>
      </c>
      <c r="B449" s="7" t="s">
        <v>7</v>
      </c>
      <c r="C449" s="1268"/>
      <c r="D449" s="8">
        <f>Ин.яз!AN20</f>
        <v>4.8181818181818183</v>
      </c>
      <c r="E449" s="6">
        <f>Ин.яз!AO20</f>
        <v>0</v>
      </c>
      <c r="F449" s="6">
        <f>Ин.яз!AP20</f>
        <v>2</v>
      </c>
    </row>
    <row r="450" spans="1:6">
      <c r="A450" s="6">
        <v>2</v>
      </c>
      <c r="B450" s="9" t="s">
        <v>8</v>
      </c>
      <c r="C450" s="1269"/>
      <c r="D450" s="8">
        <f>Физ.ра!BL20</f>
        <v>5</v>
      </c>
      <c r="E450" s="6">
        <f>Физ.ра!BM20</f>
        <v>0</v>
      </c>
      <c r="F450" s="6">
        <f>Физ.ра!BN20</f>
        <v>2</v>
      </c>
    </row>
    <row r="451" spans="1:6">
      <c r="A451" s="6">
        <v>3</v>
      </c>
      <c r="B451" s="9" t="s">
        <v>9</v>
      </c>
      <c r="C451" s="10" t="str">
        <f>CONCATENATE(История!AC434)</f>
        <v/>
      </c>
      <c r="D451" s="8">
        <f>История!AD20</f>
        <v>4.875</v>
      </c>
      <c r="E451" s="6">
        <f>История!AE20</f>
        <v>0</v>
      </c>
      <c r="F451" s="6">
        <f>История!AF20</f>
        <v>0</v>
      </c>
    </row>
    <row r="452" spans="1:6" ht="30">
      <c r="A452" s="6">
        <v>4</v>
      </c>
      <c r="B452" s="9" t="s">
        <v>10</v>
      </c>
      <c r="C452" s="10" t="str">
        <f>CONCATENATE(ПиРИП!AP435)</f>
        <v/>
      </c>
      <c r="D452" s="8">
        <f>ПиРИП!AQ20</f>
        <v>3.7142857142857144</v>
      </c>
      <c r="E452" s="6">
        <f>ПиРИП!AR20</f>
        <v>0</v>
      </c>
      <c r="F452" s="6">
        <f>ПиРИП!AS20</f>
        <v>3</v>
      </c>
    </row>
    <row r="453" spans="1:6">
      <c r="A453" s="6">
        <v>5</v>
      </c>
      <c r="B453" s="9" t="s">
        <v>11</v>
      </c>
      <c r="C453" s="10" t="str">
        <f>CONCATENATE('Элемент выш мат'!BQ434)</f>
        <v/>
      </c>
      <c r="D453" s="8">
        <f>'Элемент выш мат'!BR20</f>
        <v>3.0769230769230771</v>
      </c>
      <c r="E453" s="6">
        <f>'Элемент выш мат'!BS20</f>
        <v>0</v>
      </c>
      <c r="F453" s="6">
        <f>'Элемент выш мат'!BT20</f>
        <v>3</v>
      </c>
    </row>
    <row r="454" spans="1:6" ht="30">
      <c r="A454" s="6">
        <v>6</v>
      </c>
      <c r="B454" s="9" t="s">
        <v>12</v>
      </c>
      <c r="C454" s="10" t="str">
        <f>CONCATENATE('арх.ап.средств'!AP433)</f>
        <v/>
      </c>
      <c r="D454" s="8">
        <f>'арх.ап.средств'!AQ20</f>
        <v>3.1333333333333333</v>
      </c>
      <c r="E454" s="6">
        <f>'арх.ап.средств'!AR20</f>
        <v>0</v>
      </c>
      <c r="F454" s="6">
        <f>'арх.ап.средств'!AS20</f>
        <v>0</v>
      </c>
    </row>
    <row r="455" spans="1:6">
      <c r="A455" s="6">
        <v>7</v>
      </c>
      <c r="B455" s="9" t="s">
        <v>13</v>
      </c>
      <c r="C455" s="10" t="str">
        <f>CONCATENATE('Опер.систем-среды'!AV434)</f>
        <v/>
      </c>
      <c r="D455" s="8">
        <f>'Опер.систем-среды'!AW20</f>
        <v>3.5</v>
      </c>
      <c r="E455" s="6">
        <f>'Опер.систем-среды'!AX20</f>
        <v>0</v>
      </c>
      <c r="F455" s="6">
        <f>'Опер.систем-среды'!AY20</f>
        <v>3</v>
      </c>
    </row>
    <row r="456" spans="1:6" ht="30">
      <c r="A456" s="6">
        <v>8</v>
      </c>
      <c r="B456" s="9" t="s">
        <v>14</v>
      </c>
      <c r="C456" s="10" t="str">
        <f>CONCATENATE('Основы алгоритмизации'!CC434)</f>
        <v/>
      </c>
      <c r="D456" s="8">
        <f>'Основы алгоритмизации'!CD20</f>
        <v>3.3</v>
      </c>
      <c r="E456" s="6">
        <f>'Основы алгоритмизации'!CE20</f>
        <v>0</v>
      </c>
      <c r="F456" s="6">
        <f>'Основы алгоритмизации'!CF20</f>
        <v>3</v>
      </c>
    </row>
    <row r="457" spans="1:6" ht="30">
      <c r="A457" s="6">
        <v>9</v>
      </c>
      <c r="B457" s="9" t="s">
        <v>16</v>
      </c>
      <c r="C457" s="10" t="str">
        <f>CONCATENATE('Осн.пр.Базы данных'!BB434)</f>
        <v/>
      </c>
      <c r="D457" s="8">
        <f>'Осн.пр.Базы данных'!BC20</f>
        <v>2.6666666666666665</v>
      </c>
      <c r="E457" s="6">
        <f>'Осн.пр.Базы данных'!BD20</f>
        <v>0</v>
      </c>
      <c r="F457" s="6">
        <f>'Осн.пр.Базы данных'!BE20</f>
        <v>2</v>
      </c>
    </row>
    <row r="458" spans="1:6">
      <c r="A458" s="6">
        <v>10</v>
      </c>
      <c r="B458" s="9" t="s">
        <v>17</v>
      </c>
      <c r="C458" s="10" t="str">
        <f>CONCATENATE('Числ метод'!AI434)</f>
        <v/>
      </c>
      <c r="D458" s="8">
        <f>'Числ метод'!AJ20</f>
        <v>3.375</v>
      </c>
      <c r="E458" s="6">
        <f>'Числ метод'!AK20</f>
        <v>0</v>
      </c>
      <c r="F458" s="6">
        <f>'Числ метод'!AL20</f>
        <v>0</v>
      </c>
    </row>
    <row r="459" spans="1:6">
      <c r="A459" s="6">
        <v>11</v>
      </c>
      <c r="B459" s="9" t="s">
        <v>18</v>
      </c>
      <c r="C459" s="11" t="str">
        <f>CONCATENATE('Комп сеть'!Y434)</f>
        <v/>
      </c>
      <c r="D459" s="12">
        <f>'Комп сеть'!Z20</f>
        <v>4.8888888888888893</v>
      </c>
      <c r="E459" s="13">
        <f>'Комп сеть'!AA20</f>
        <v>0</v>
      </c>
      <c r="F459" s="13">
        <f>'Комп сеть'!AB20</f>
        <v>0</v>
      </c>
    </row>
    <row r="460" spans="1:6" ht="30">
      <c r="A460" s="6">
        <v>12</v>
      </c>
      <c r="B460" s="9" t="s">
        <v>19</v>
      </c>
      <c r="C460" s="11" t="str">
        <f>CONCATENATE('Теор.вероят и мат.стат'!BX434)</f>
        <v/>
      </c>
      <c r="D460" s="12">
        <f>'Теор.вероят и мат.стат'!BY20</f>
        <v>3.5</v>
      </c>
      <c r="E460" s="13">
        <f>'Теор.вероят и мат.стат'!BZ20</f>
        <v>0</v>
      </c>
      <c r="F460" s="13">
        <f>'Теор.вероят и мат.стат'!CA20</f>
        <v>4</v>
      </c>
    </row>
    <row r="461" spans="1:6">
      <c r="A461" s="6">
        <v>13</v>
      </c>
      <c r="B461" s="9" t="s">
        <v>20</v>
      </c>
      <c r="C461" s="11" t="str">
        <f>CONCATENATE('Дискрет.мат '!BQ434)</f>
        <v/>
      </c>
      <c r="D461" s="12">
        <f>'Дискрет.мат '!BR20</f>
        <v>3</v>
      </c>
      <c r="E461" s="13">
        <f>'Дискрет.мат '!BS20</f>
        <v>0</v>
      </c>
      <c r="F461" s="13">
        <f>'Дискрет.мат '!BT20</f>
        <v>2</v>
      </c>
    </row>
    <row r="462" spans="1:6" ht="30">
      <c r="A462" s="6">
        <v>14</v>
      </c>
      <c r="B462" s="9" t="s">
        <v>21</v>
      </c>
      <c r="C462" s="14" t="str">
        <f>CONCATENATE('Разработка кода ИС'!AO434)</f>
        <v/>
      </c>
      <c r="D462" s="15" t="str">
        <f>'Разработка кода ИС'!AP20</f>
        <v>Нет оценок</v>
      </c>
      <c r="E462" s="16">
        <f>'Разработка кода ИС'!AQ20</f>
        <v>0</v>
      </c>
      <c r="F462" s="16">
        <f>'Разработка кода ИС'!AR20</f>
        <v>2</v>
      </c>
    </row>
    <row r="463" spans="1:6" ht="30">
      <c r="A463" s="6">
        <v>15</v>
      </c>
      <c r="B463" s="9" t="s">
        <v>22</v>
      </c>
      <c r="C463" s="1268"/>
      <c r="D463" s="8" t="str">
        <f>'Внедр.подд.комп.систем'!BC20</f>
        <v>Нет оценок</v>
      </c>
      <c r="E463" s="6">
        <f>'Внедр.подд.комп.систем'!BD20</f>
        <v>0</v>
      </c>
      <c r="F463" s="6">
        <f>'Внедр.подд.комп.систем'!BE20</f>
        <v>0</v>
      </c>
    </row>
    <row r="464" spans="1:6" ht="45">
      <c r="A464" s="6">
        <v>16</v>
      </c>
      <c r="B464" s="9" t="s">
        <v>23</v>
      </c>
      <c r="C464" s="1270"/>
      <c r="D464" s="8">
        <f>'Тестирование ИС'!CA20</f>
        <v>5</v>
      </c>
      <c r="E464" s="6">
        <f>'Тестирование ИС'!CB20</f>
        <v>0</v>
      </c>
      <c r="F464" s="6">
        <f>'Тестирование ИС'!CC20</f>
        <v>3</v>
      </c>
    </row>
    <row r="465" spans="1:6">
      <c r="A465" s="6">
        <v>17</v>
      </c>
      <c r="B465" s="9" t="s">
        <v>24</v>
      </c>
      <c r="C465" s="1270"/>
      <c r="D465" s="8">
        <f>Псих.общ!BW20</f>
        <v>4.5</v>
      </c>
      <c r="E465" s="6">
        <f>Псих.общ!BX20</f>
        <v>0</v>
      </c>
      <c r="F465" s="6">
        <f>Псих.общ!BY20</f>
        <v>3</v>
      </c>
    </row>
    <row r="466" spans="1:6" ht="30">
      <c r="A466" s="17">
        <v>18</v>
      </c>
      <c r="B466" s="18" t="s">
        <v>25</v>
      </c>
      <c r="C466" s="1270"/>
      <c r="D466" s="19" t="str">
        <f>'Тех.разра.БД'!AA20</f>
        <v>Нет оценок</v>
      </c>
      <c r="E466" s="17">
        <f>'Тех.разра.БД'!AB20</f>
        <v>0</v>
      </c>
      <c r="F466" s="17">
        <f>'Тех.разра.БД'!AC20</f>
        <v>0</v>
      </c>
    </row>
    <row r="467" spans="1:6">
      <c r="A467" s="6">
        <v>19</v>
      </c>
      <c r="B467" s="18" t="s">
        <v>26</v>
      </c>
      <c r="C467" s="13"/>
      <c r="D467" s="19">
        <f>БЖ!AA20</f>
        <v>5</v>
      </c>
      <c r="E467" s="17">
        <f>БЖ!AB20</f>
        <v>0</v>
      </c>
      <c r="F467" s="17">
        <f>БЖ!AC20</f>
        <v>0</v>
      </c>
    </row>
    <row r="468" spans="1:6" s="5" customFormat="1" ht="30">
      <c r="A468" s="1469" t="s">
        <v>27</v>
      </c>
      <c r="B468" s="1468" t="s">
        <v>634</v>
      </c>
      <c r="C468" s="13">
        <f>'Граф диз и мульт'!Z20</f>
        <v>0</v>
      </c>
      <c r="D468" s="8">
        <f>'Граф диз и мульт'!AA20</f>
        <v>4.8</v>
      </c>
      <c r="E468" s="6">
        <f>'Граф диз и мульт'!AB20</f>
        <v>0</v>
      </c>
      <c r="F468" s="6">
        <f>'Граф диз и мульт'!AC20</f>
        <v>2</v>
      </c>
    </row>
    <row r="469" spans="1:6" ht="30">
      <c r="A469" s="1469" t="s">
        <v>86</v>
      </c>
      <c r="B469" s="7" t="s">
        <v>28</v>
      </c>
      <c r="C469" s="13"/>
      <c r="D469" s="8">
        <f>'Проектирование и дизайн ИС'!AP20</f>
        <v>4.615384615384615</v>
      </c>
      <c r="E469" s="6">
        <f>'Проектирование и дизайн ИС'!AQ20</f>
        <v>0</v>
      </c>
      <c r="F469" s="6">
        <f>'Проектирование и дизайн ИС'!AR20</f>
        <v>1</v>
      </c>
    </row>
    <row r="470" spans="1:6" ht="15.75">
      <c r="A470" s="21"/>
      <c r="B470" s="21"/>
      <c r="C470" s="21"/>
      <c r="D470" s="22">
        <f>IFERROR(AVERAGE(D449:D469),"")</f>
        <v>4.0424257840924502</v>
      </c>
      <c r="E470" s="23">
        <f>SUM(E449:E469)</f>
        <v>0</v>
      </c>
      <c r="F470" s="23">
        <f>SUM(F449:F469)</f>
        <v>35</v>
      </c>
    </row>
    <row r="471" spans="1:6" ht="15.75">
      <c r="A471" s="21"/>
      <c r="B471" s="21"/>
      <c r="C471" s="21"/>
      <c r="D471" s="24"/>
      <c r="E471" s="1271" t="s">
        <v>29</v>
      </c>
      <c r="F471" s="1272"/>
    </row>
    <row r="472" spans="1:6" ht="15.75">
      <c r="A472" s="21"/>
      <c r="B472" s="21"/>
      <c r="C472" s="21"/>
      <c r="D472" s="24"/>
      <c r="E472" s="1273">
        <f>SUM(E470:F470)</f>
        <v>35</v>
      </c>
      <c r="F472" s="1274"/>
    </row>
    <row r="473" spans="1:6" ht="15.75">
      <c r="A473" s="1"/>
      <c r="B473" s="1"/>
      <c r="C473" s="1"/>
      <c r="D473" s="1"/>
      <c r="E473" s="1"/>
      <c r="F473" s="1"/>
    </row>
    <row r="474" spans="1:6" ht="15.75">
      <c r="A474" s="1260" t="str">
        <f>Ин.яз!B21</f>
        <v>Руфуллаев Ибрагим Фуадович</v>
      </c>
      <c r="B474" s="1261"/>
      <c r="C474" s="1261"/>
      <c r="D474" s="1261"/>
      <c r="E474" s="1261"/>
      <c r="F474" s="1262"/>
    </row>
    <row r="475" spans="1:6">
      <c r="A475" s="1263">
        <f ca="1">TODAY()</f>
        <v>46120</v>
      </c>
      <c r="B475" s="1264"/>
      <c r="C475" s="1264"/>
      <c r="D475" s="1265"/>
      <c r="E475" s="1266" t="s">
        <v>0</v>
      </c>
      <c r="F475" s="1267"/>
    </row>
    <row r="476" spans="1:6" ht="28.5">
      <c r="A476" s="2">
        <v>18</v>
      </c>
      <c r="B476" s="2" t="s">
        <v>2</v>
      </c>
      <c r="C476" s="3" t="s">
        <v>3</v>
      </c>
      <c r="D476" s="4" t="s">
        <v>4</v>
      </c>
      <c r="E476" s="4" t="s">
        <v>5</v>
      </c>
      <c r="F476" s="4" t="s">
        <v>6</v>
      </c>
    </row>
    <row r="477" spans="1:6" ht="30">
      <c r="A477" s="6">
        <v>1</v>
      </c>
      <c r="B477" s="7" t="s">
        <v>7</v>
      </c>
      <c r="C477" s="1268"/>
      <c r="D477" s="8">
        <f>Ин.яз!AN21</f>
        <v>3.1428571428571428</v>
      </c>
      <c r="E477" s="6">
        <f>Ин.яз!AO21</f>
        <v>0</v>
      </c>
      <c r="F477" s="6">
        <f>Ин.яз!AP21</f>
        <v>2</v>
      </c>
    </row>
    <row r="478" spans="1:6">
      <c r="A478" s="6">
        <v>2</v>
      </c>
      <c r="B478" s="9" t="s">
        <v>8</v>
      </c>
      <c r="C478" s="1269"/>
      <c r="D478" s="8">
        <f>Физ.ра!BL21</f>
        <v>4.5625</v>
      </c>
      <c r="E478" s="6">
        <f>Физ.ра!BM21</f>
        <v>0</v>
      </c>
      <c r="F478" s="6">
        <f>Физ.ра!BN21</f>
        <v>0</v>
      </c>
    </row>
    <row r="479" spans="1:6">
      <c r="A479" s="6">
        <v>3</v>
      </c>
      <c r="B479" s="9" t="s">
        <v>9</v>
      </c>
      <c r="C479" s="10" t="str">
        <f>CONCATENATE(История!AC461)</f>
        <v/>
      </c>
      <c r="D479" s="8">
        <f>История!AD21</f>
        <v>3.8333333333333335</v>
      </c>
      <c r="E479" s="6">
        <f>История!AE21</f>
        <v>0</v>
      </c>
      <c r="F479" s="6">
        <f>История!AF21</f>
        <v>0</v>
      </c>
    </row>
    <row r="480" spans="1:6" ht="30">
      <c r="A480" s="6">
        <v>4</v>
      </c>
      <c r="B480" s="9" t="s">
        <v>10</v>
      </c>
      <c r="C480" s="10" t="str">
        <f>CONCATENATE(ПиРИП!AP462)</f>
        <v/>
      </c>
      <c r="D480" s="8">
        <f>ПиРИП!AQ21</f>
        <v>4.1428571428571432</v>
      </c>
      <c r="E480" s="6">
        <f>ПиРИП!AR21</f>
        <v>0</v>
      </c>
      <c r="F480" s="6">
        <f>ПиРИП!AS21</f>
        <v>4</v>
      </c>
    </row>
    <row r="481" spans="1:6">
      <c r="A481" s="6">
        <v>5</v>
      </c>
      <c r="B481" s="9" t="s">
        <v>11</v>
      </c>
      <c r="C481" s="10" t="str">
        <f>CONCATENATE('Элемент выш мат'!BQ461)</f>
        <v/>
      </c>
      <c r="D481" s="8">
        <f>'Элемент выш мат'!BR21</f>
        <v>3.3333333333333335</v>
      </c>
      <c r="E481" s="6">
        <f>'Элемент выш мат'!BS21</f>
        <v>0</v>
      </c>
      <c r="F481" s="6">
        <f>'Элемент выш мат'!BT21</f>
        <v>6</v>
      </c>
    </row>
    <row r="482" spans="1:6" ht="30">
      <c r="A482" s="6">
        <v>6</v>
      </c>
      <c r="B482" s="9" t="s">
        <v>12</v>
      </c>
      <c r="C482" s="10" t="str">
        <f>CONCATENATE('арх.ап.средств'!AP460)</f>
        <v/>
      </c>
      <c r="D482" s="8">
        <f>'арх.ап.средств'!AQ21</f>
        <v>5</v>
      </c>
      <c r="E482" s="6">
        <f>'арх.ап.средств'!AR21</f>
        <v>0</v>
      </c>
      <c r="F482" s="6">
        <f>'арх.ап.средств'!AS21</f>
        <v>0</v>
      </c>
    </row>
    <row r="483" spans="1:6">
      <c r="A483" s="6">
        <v>7</v>
      </c>
      <c r="B483" s="9" t="s">
        <v>13</v>
      </c>
      <c r="C483" s="10" t="str">
        <f>CONCATENATE('Опер.систем-среды'!AV461)</f>
        <v/>
      </c>
      <c r="D483" s="8">
        <f>'Опер.систем-среды'!AW21</f>
        <v>4</v>
      </c>
      <c r="E483" s="6">
        <f>'Опер.систем-среды'!AX21</f>
        <v>0</v>
      </c>
      <c r="F483" s="6">
        <f>'Опер.систем-среды'!AY21</f>
        <v>2</v>
      </c>
    </row>
    <row r="484" spans="1:6" ht="30">
      <c r="A484" s="6">
        <v>8</v>
      </c>
      <c r="B484" s="9" t="s">
        <v>14</v>
      </c>
      <c r="C484" s="10" t="str">
        <f>CONCATENATE('Основы алгоритмизации'!CC461)</f>
        <v/>
      </c>
      <c r="D484" s="8">
        <f>'Основы алгоритмизации'!CD21</f>
        <v>2.6923076923076925</v>
      </c>
      <c r="E484" s="6">
        <f>'Основы алгоритмизации'!CE21</f>
        <v>0</v>
      </c>
      <c r="F484" s="6">
        <f>'Основы алгоритмизации'!CF21</f>
        <v>2</v>
      </c>
    </row>
    <row r="485" spans="1:6" ht="30">
      <c r="A485" s="6">
        <v>9</v>
      </c>
      <c r="B485" s="9" t="s">
        <v>16</v>
      </c>
      <c r="C485" s="10" t="str">
        <f>CONCATENATE('Осн.пр.Базы данных'!BB461)</f>
        <v/>
      </c>
      <c r="D485" s="8">
        <f>'Осн.пр.Базы данных'!BC21</f>
        <v>2.6666666666666665</v>
      </c>
      <c r="E485" s="6">
        <f>'Осн.пр.Базы данных'!BD21</f>
        <v>0</v>
      </c>
      <c r="F485" s="6">
        <f>'Осн.пр.Базы данных'!BE21</f>
        <v>1</v>
      </c>
    </row>
    <row r="486" spans="1:6">
      <c r="A486" s="6">
        <v>10</v>
      </c>
      <c r="B486" s="9" t="s">
        <v>17</v>
      </c>
      <c r="C486" s="10" t="str">
        <f>CONCATENATE('Числ метод'!AI461)</f>
        <v/>
      </c>
      <c r="D486" s="8">
        <f>'Числ метод'!AJ21</f>
        <v>3</v>
      </c>
      <c r="E486" s="6">
        <f>'Числ метод'!AK21</f>
        <v>0</v>
      </c>
      <c r="F486" s="6">
        <f>'Числ метод'!AL21</f>
        <v>0</v>
      </c>
    </row>
    <row r="487" spans="1:6">
      <c r="A487" s="6">
        <v>11</v>
      </c>
      <c r="B487" s="9" t="s">
        <v>18</v>
      </c>
      <c r="C487" s="11" t="str">
        <f>CONCATENATE('Комп сеть'!Y461)</f>
        <v/>
      </c>
      <c r="D487" s="12">
        <f>'Комп сеть'!Z21</f>
        <v>4.2142857142857144</v>
      </c>
      <c r="E487" s="13">
        <f>'Комп сеть'!AA21</f>
        <v>0</v>
      </c>
      <c r="F487" s="13">
        <f>'Комп сеть'!AB21</f>
        <v>0</v>
      </c>
    </row>
    <row r="488" spans="1:6" ht="30">
      <c r="A488" s="6">
        <v>12</v>
      </c>
      <c r="B488" s="9" t="s">
        <v>19</v>
      </c>
      <c r="C488" s="11" t="str">
        <f>CONCATENATE('Теор.вероят и мат.стат'!BX461)</f>
        <v/>
      </c>
      <c r="D488" s="12">
        <f>'Теор.вероят и мат.стат'!BY21</f>
        <v>2.6</v>
      </c>
      <c r="E488" s="13">
        <f>'Теор.вероят и мат.стат'!BZ21</f>
        <v>0</v>
      </c>
      <c r="F488" s="13">
        <f>'Теор.вероят и мат.стат'!CA21</f>
        <v>5</v>
      </c>
    </row>
    <row r="489" spans="1:6">
      <c r="A489" s="6">
        <v>13</v>
      </c>
      <c r="B489" s="9" t="s">
        <v>20</v>
      </c>
      <c r="C489" s="11" t="str">
        <f>CONCATENATE('Дискрет.мат '!BQ461)</f>
        <v/>
      </c>
      <c r="D489" s="12">
        <f>'Дискрет.мат '!BR21</f>
        <v>2.3333333333333335</v>
      </c>
      <c r="E489" s="13">
        <f>'Дискрет.мат '!BS21</f>
        <v>0</v>
      </c>
      <c r="F489" s="13">
        <f>'Дискрет.мат '!BT21</f>
        <v>3</v>
      </c>
    </row>
    <row r="490" spans="1:6" ht="30">
      <c r="A490" s="6">
        <v>14</v>
      </c>
      <c r="B490" s="9" t="s">
        <v>21</v>
      </c>
      <c r="C490" s="14" t="str">
        <f>CONCATENATE('Разработка кода ИС'!AO461)</f>
        <v/>
      </c>
      <c r="D490" s="15">
        <f>'Разработка кода ИС'!AP21</f>
        <v>2.5</v>
      </c>
      <c r="E490" s="16">
        <f>'Разработка кода ИС'!AQ21</f>
        <v>0</v>
      </c>
      <c r="F490" s="16">
        <f>'Разработка кода ИС'!AR21</f>
        <v>2</v>
      </c>
    </row>
    <row r="491" spans="1:6" ht="30">
      <c r="A491" s="6">
        <v>15</v>
      </c>
      <c r="B491" s="9" t="s">
        <v>22</v>
      </c>
      <c r="C491" s="1268"/>
      <c r="D491" s="8" t="str">
        <f>'Внедр.подд.комп.систем'!BC21</f>
        <v>Нет оценок</v>
      </c>
      <c r="E491" s="6">
        <f>'Внедр.подд.комп.систем'!BD21</f>
        <v>0</v>
      </c>
      <c r="F491" s="6">
        <f>'Внедр.подд.комп.систем'!BE21</f>
        <v>0</v>
      </c>
    </row>
    <row r="492" spans="1:6" ht="45">
      <c r="A492" s="6">
        <v>16</v>
      </c>
      <c r="B492" s="9" t="s">
        <v>23</v>
      </c>
      <c r="C492" s="1270"/>
      <c r="D492" s="8">
        <f>'Тестирование ИС'!CA21</f>
        <v>5</v>
      </c>
      <c r="E492" s="6">
        <f>'Тестирование ИС'!CB21</f>
        <v>0</v>
      </c>
      <c r="F492" s="6">
        <f>'Тестирование ИС'!CC21</f>
        <v>2</v>
      </c>
    </row>
    <row r="493" spans="1:6">
      <c r="A493" s="6">
        <v>17</v>
      </c>
      <c r="B493" s="9" t="s">
        <v>24</v>
      </c>
      <c r="C493" s="1270"/>
      <c r="D493" s="8">
        <f>Псих.общ!BW21</f>
        <v>4</v>
      </c>
      <c r="E493" s="6">
        <f>Псих.общ!BX21</f>
        <v>0</v>
      </c>
      <c r="F493" s="6">
        <f>Псих.общ!BY21</f>
        <v>5</v>
      </c>
    </row>
    <row r="494" spans="1:6" ht="30">
      <c r="A494" s="17">
        <v>18</v>
      </c>
      <c r="B494" s="18" t="s">
        <v>25</v>
      </c>
      <c r="C494" s="1270"/>
      <c r="D494" s="19" t="str">
        <f>'Тех.разра.БД'!AA21</f>
        <v>Нет оценок</v>
      </c>
      <c r="E494" s="17">
        <f>'Тех.разра.БД'!AB21</f>
        <v>0</v>
      </c>
      <c r="F494" s="17">
        <f>'Тех.разра.БД'!AC21</f>
        <v>0</v>
      </c>
    </row>
    <row r="495" spans="1:6">
      <c r="A495" s="6">
        <v>19</v>
      </c>
      <c r="B495" s="18" t="s">
        <v>26</v>
      </c>
      <c r="C495" s="13"/>
      <c r="D495" s="19">
        <f>БЖ!AA21</f>
        <v>3.75</v>
      </c>
      <c r="E495" s="17">
        <f>БЖ!AB21</f>
        <v>0</v>
      </c>
      <c r="F495" s="17">
        <f>БЖ!AC21</f>
        <v>0</v>
      </c>
    </row>
    <row r="496" spans="1:6" s="5" customFormat="1" ht="30">
      <c r="A496" s="1469" t="s">
        <v>27</v>
      </c>
      <c r="B496" s="1468" t="s">
        <v>634</v>
      </c>
      <c r="C496" s="13">
        <f>'Граф диз и мульт'!Z21</f>
        <v>0</v>
      </c>
      <c r="D496" s="8">
        <f>'Граф диз и мульт'!AA21</f>
        <v>4</v>
      </c>
      <c r="E496" s="6">
        <f>'Граф диз и мульт'!AB21</f>
        <v>0</v>
      </c>
      <c r="F496" s="6">
        <f>'Граф диз и мульт'!AC21</f>
        <v>1</v>
      </c>
    </row>
    <row r="497" spans="1:6" ht="30">
      <c r="A497" s="1469" t="s">
        <v>86</v>
      </c>
      <c r="B497" s="7" t="s">
        <v>28</v>
      </c>
      <c r="C497" s="13"/>
      <c r="D497" s="8">
        <f>'Проектирование и дизайн ИС'!AP21</f>
        <v>3.6428571428571428</v>
      </c>
      <c r="E497" s="6">
        <f>'Проектирование и дизайн ИС'!AQ21</f>
        <v>0</v>
      </c>
      <c r="F497" s="6">
        <f>'Проектирование и дизайн ИС'!AR21</f>
        <v>5</v>
      </c>
    </row>
    <row r="498" spans="1:6" ht="15.75">
      <c r="A498" s="21"/>
      <c r="B498" s="21"/>
      <c r="C498" s="21"/>
      <c r="D498" s="22">
        <f>IFERROR(AVERAGE(D477:D497),"")</f>
        <v>3.6007542895700788</v>
      </c>
      <c r="E498" s="23">
        <f>SUM(E477:E497)</f>
        <v>0</v>
      </c>
      <c r="F498" s="23">
        <f>SUM(F477:F497)</f>
        <v>40</v>
      </c>
    </row>
    <row r="499" spans="1:6" ht="15.75">
      <c r="A499" s="21"/>
      <c r="B499" s="21"/>
      <c r="C499" s="21"/>
      <c r="D499" s="24"/>
      <c r="E499" s="1271" t="s">
        <v>29</v>
      </c>
      <c r="F499" s="1272"/>
    </row>
    <row r="500" spans="1:6" ht="15.75">
      <c r="A500" s="21"/>
      <c r="B500" s="21"/>
      <c r="C500" s="21"/>
      <c r="D500" s="24"/>
      <c r="E500" s="1273">
        <f>SUM(E498:F498)</f>
        <v>40</v>
      </c>
      <c r="F500" s="1274"/>
    </row>
    <row r="501" spans="1:6" ht="15.75">
      <c r="A501" s="1"/>
      <c r="B501" s="1"/>
      <c r="C501" s="1"/>
      <c r="D501" s="1"/>
      <c r="E501" s="1"/>
      <c r="F501" s="1"/>
    </row>
    <row r="502" spans="1:6" ht="15.75">
      <c r="A502" s="1260" t="str">
        <f>Ин.яз!B22</f>
        <v>Сарычев Данила Андреевич</v>
      </c>
      <c r="B502" s="1261"/>
      <c r="C502" s="1261"/>
      <c r="D502" s="1261"/>
      <c r="E502" s="1261"/>
      <c r="F502" s="1262"/>
    </row>
    <row r="503" spans="1:6">
      <c r="A503" s="1263">
        <f ca="1">TODAY()</f>
        <v>46120</v>
      </c>
      <c r="B503" s="1264"/>
      <c r="C503" s="1264"/>
      <c r="D503" s="1265"/>
      <c r="E503" s="1266" t="s">
        <v>0</v>
      </c>
      <c r="F503" s="1267"/>
    </row>
    <row r="504" spans="1:6" ht="28.5">
      <c r="A504" s="2">
        <v>18</v>
      </c>
      <c r="B504" s="2" t="s">
        <v>2</v>
      </c>
      <c r="C504" s="3" t="s">
        <v>3</v>
      </c>
      <c r="D504" s="4" t="s">
        <v>4</v>
      </c>
      <c r="E504" s="4" t="s">
        <v>5</v>
      </c>
      <c r="F504" s="4" t="s">
        <v>6</v>
      </c>
    </row>
    <row r="505" spans="1:6" ht="30">
      <c r="A505" s="6">
        <v>1</v>
      </c>
      <c r="B505" s="7" t="s">
        <v>7</v>
      </c>
      <c r="C505" s="1268"/>
      <c r="D505" s="8">
        <f>Ин.яз!AN22</f>
        <v>4.1538461538461542</v>
      </c>
      <c r="E505" s="6">
        <f>Ин.яз!AO22</f>
        <v>0</v>
      </c>
      <c r="F505" s="6">
        <f>Ин.яз!AP22</f>
        <v>3</v>
      </c>
    </row>
    <row r="506" spans="1:6">
      <c r="A506" s="6">
        <v>2</v>
      </c>
      <c r="B506" s="9" t="s">
        <v>8</v>
      </c>
      <c r="C506" s="1269"/>
      <c r="D506" s="8">
        <f>Физ.ра!BL22</f>
        <v>4.8181818181818183</v>
      </c>
      <c r="E506" s="6">
        <f>Физ.ра!BM22</f>
        <v>0</v>
      </c>
      <c r="F506" s="6">
        <f>Физ.ра!BN22</f>
        <v>2</v>
      </c>
    </row>
    <row r="507" spans="1:6">
      <c r="A507" s="6">
        <v>3</v>
      </c>
      <c r="B507" s="9" t="s">
        <v>9</v>
      </c>
      <c r="C507" s="10" t="str">
        <f>CONCATENATE(История!AC488)</f>
        <v/>
      </c>
      <c r="D507" s="8">
        <f>История!AD22</f>
        <v>4.75</v>
      </c>
      <c r="E507" s="6">
        <f>История!AE22</f>
        <v>0</v>
      </c>
      <c r="F507" s="6">
        <f>История!AF22</f>
        <v>0</v>
      </c>
    </row>
    <row r="508" spans="1:6" ht="30">
      <c r="A508" s="6">
        <v>4</v>
      </c>
      <c r="B508" s="9" t="s">
        <v>10</v>
      </c>
      <c r="C508" s="10" t="str">
        <f>CONCATENATE(ПиРИП!AP489)</f>
        <v/>
      </c>
      <c r="D508" s="8">
        <f>ПиРИП!AQ22</f>
        <v>5</v>
      </c>
      <c r="E508" s="6">
        <f>ПиРИП!AR22</f>
        <v>0</v>
      </c>
      <c r="F508" s="6">
        <f>ПиРИП!AS22</f>
        <v>0</v>
      </c>
    </row>
    <row r="509" spans="1:6">
      <c r="A509" s="6">
        <v>5</v>
      </c>
      <c r="B509" s="9" t="s">
        <v>11</v>
      </c>
      <c r="C509" s="10" t="str">
        <f>CONCATENATE('Элемент выш мат'!BQ488)</f>
        <v/>
      </c>
      <c r="D509" s="8">
        <f>'Элемент выш мат'!BR22</f>
        <v>3.4666666666666668</v>
      </c>
      <c r="E509" s="6">
        <f>'Элемент выш мат'!BS22</f>
        <v>0</v>
      </c>
      <c r="F509" s="6">
        <f>'Элемент выш мат'!BT22</f>
        <v>2</v>
      </c>
    </row>
    <row r="510" spans="1:6" ht="30">
      <c r="A510" s="6">
        <v>6</v>
      </c>
      <c r="B510" s="9" t="s">
        <v>12</v>
      </c>
      <c r="C510" s="10" t="str">
        <f>CONCATENATE('арх.ап.средств'!AP487)</f>
        <v/>
      </c>
      <c r="D510" s="8">
        <f>'арх.ап.средств'!AQ21</f>
        <v>5</v>
      </c>
      <c r="E510" s="6">
        <f>'арх.ап.средств'!AR21</f>
        <v>0</v>
      </c>
      <c r="F510" s="6">
        <f>'арх.ап.средств'!AS21</f>
        <v>0</v>
      </c>
    </row>
    <row r="511" spans="1:6">
      <c r="A511" s="6">
        <v>7</v>
      </c>
      <c r="B511" s="9" t="s">
        <v>13</v>
      </c>
      <c r="C511" s="10" t="str">
        <f>CONCATENATE('Опер.систем-среды'!AV488)</f>
        <v/>
      </c>
      <c r="D511" s="8">
        <f>'Опер.систем-среды'!AW22</f>
        <v>5</v>
      </c>
      <c r="E511" s="6">
        <f>'Опер.систем-среды'!AX22</f>
        <v>0</v>
      </c>
      <c r="F511" s="6">
        <f>'Опер.систем-среды'!AY22</f>
        <v>5</v>
      </c>
    </row>
    <row r="512" spans="1:6" ht="30">
      <c r="A512" s="6">
        <v>8</v>
      </c>
      <c r="B512" s="9" t="s">
        <v>14</v>
      </c>
      <c r="C512" s="10" t="str">
        <f>CONCATENATE('Основы алгоритмизации'!CC488)</f>
        <v/>
      </c>
      <c r="D512" s="8">
        <f>'Основы алгоритмизации'!CD22</f>
        <v>2.5454545454545454</v>
      </c>
      <c r="E512" s="6">
        <f>'Основы алгоритмизации'!CE22</f>
        <v>0</v>
      </c>
      <c r="F512" s="6">
        <f>'Основы алгоритмизации'!CF22</f>
        <v>0</v>
      </c>
    </row>
    <row r="513" spans="1:6" ht="30">
      <c r="A513" s="6">
        <v>9</v>
      </c>
      <c r="B513" s="9" t="s">
        <v>16</v>
      </c>
      <c r="C513" s="10" t="str">
        <f>CONCATENATE('Осн.пр.Базы данных'!BB488)</f>
        <v/>
      </c>
      <c r="D513" s="8">
        <f>'Осн.пр.Базы данных'!BC22</f>
        <v>3</v>
      </c>
      <c r="E513" s="6">
        <f>'Осн.пр.Базы данных'!BD22</f>
        <v>0</v>
      </c>
      <c r="F513" s="6">
        <f>'Осн.пр.Базы данных'!BE22</f>
        <v>1</v>
      </c>
    </row>
    <row r="514" spans="1:6">
      <c r="A514" s="6">
        <v>10</v>
      </c>
      <c r="B514" s="9" t="s">
        <v>17</v>
      </c>
      <c r="C514" s="10" t="str">
        <f>CONCATENATE('Числ метод'!AI488)</f>
        <v/>
      </c>
      <c r="D514" s="8">
        <f>'Числ метод'!AJ22</f>
        <v>3.3333333333333335</v>
      </c>
      <c r="E514" s="6">
        <f>'Числ метод'!AK22</f>
        <v>0</v>
      </c>
      <c r="F514" s="6">
        <f>'Числ метод'!AL22</f>
        <v>0</v>
      </c>
    </row>
    <row r="515" spans="1:6">
      <c r="A515" s="6">
        <v>11</v>
      </c>
      <c r="B515" s="9" t="s">
        <v>18</v>
      </c>
      <c r="C515" s="11" t="str">
        <f>CONCATENATE('Комп сеть'!Y488)</f>
        <v/>
      </c>
      <c r="D515" s="12">
        <f>'Комп сеть'!Z22</f>
        <v>4.4705882352941178</v>
      </c>
      <c r="E515" s="13">
        <f>'Комп сеть'!AA22</f>
        <v>0</v>
      </c>
      <c r="F515" s="13">
        <f>'Комп сеть'!AB22</f>
        <v>0</v>
      </c>
    </row>
    <row r="516" spans="1:6" ht="30">
      <c r="A516" s="6">
        <v>12</v>
      </c>
      <c r="B516" s="9" t="s">
        <v>19</v>
      </c>
      <c r="C516" s="11" t="str">
        <f>CONCATENATE('Теор.вероят и мат.стат'!BX488)</f>
        <v/>
      </c>
      <c r="D516" s="12">
        <f>'Теор.вероят и мат.стат'!BY22</f>
        <v>4.2</v>
      </c>
      <c r="E516" s="13">
        <f>'Теор.вероят и мат.стат'!BZ22</f>
        <v>0</v>
      </c>
      <c r="F516" s="13">
        <f>'Теор.вероят и мат.стат'!CA22</f>
        <v>1</v>
      </c>
    </row>
    <row r="517" spans="1:6">
      <c r="A517" s="6">
        <v>13</v>
      </c>
      <c r="B517" s="9" t="s">
        <v>20</v>
      </c>
      <c r="C517" s="11" t="str">
        <f>CONCATENATE('Дискрет.мат '!BQ488)</f>
        <v/>
      </c>
      <c r="D517" s="12">
        <f>'Дискрет.мат '!BR22</f>
        <v>3</v>
      </c>
      <c r="E517" s="13">
        <f>'Дискрет.мат '!BS22</f>
        <v>1</v>
      </c>
      <c r="F517" s="13">
        <f>'Дискрет.мат '!BT22</f>
        <v>4</v>
      </c>
    </row>
    <row r="518" spans="1:6" ht="30">
      <c r="A518" s="6">
        <v>14</v>
      </c>
      <c r="B518" s="9" t="s">
        <v>21</v>
      </c>
      <c r="C518" s="14" t="str">
        <f>CONCATENATE('Разработка кода ИС'!AO488)</f>
        <v/>
      </c>
      <c r="D518" s="15">
        <f>'Разработка кода ИС'!AP22</f>
        <v>5</v>
      </c>
      <c r="E518" s="16">
        <f>'Разработка кода ИС'!AQ22</f>
        <v>1</v>
      </c>
      <c r="F518" s="16">
        <f>'Разработка кода ИС'!AR22</f>
        <v>1</v>
      </c>
    </row>
    <row r="519" spans="1:6" ht="30">
      <c r="A519" s="6">
        <v>15</v>
      </c>
      <c r="B519" s="9" t="s">
        <v>22</v>
      </c>
      <c r="C519" s="1268"/>
      <c r="D519" s="8" t="str">
        <f>'Внедр.подд.комп.систем'!BC22</f>
        <v>Нет оценок</v>
      </c>
      <c r="E519" s="6">
        <f>'Внедр.подд.комп.систем'!BD22</f>
        <v>0</v>
      </c>
      <c r="F519" s="6">
        <f>'Внедр.подд.комп.систем'!BE22</f>
        <v>0</v>
      </c>
    </row>
    <row r="520" spans="1:6" ht="45">
      <c r="A520" s="6">
        <v>16</v>
      </c>
      <c r="B520" s="9" t="s">
        <v>23</v>
      </c>
      <c r="C520" s="1270"/>
      <c r="D520" s="8">
        <f>'Тестирование ИС'!CA22</f>
        <v>5</v>
      </c>
      <c r="E520" s="6">
        <f>'Тестирование ИС'!CB22</f>
        <v>0</v>
      </c>
      <c r="F520" s="6">
        <f>'Тестирование ИС'!CC22</f>
        <v>0</v>
      </c>
    </row>
    <row r="521" spans="1:6">
      <c r="A521" s="6">
        <v>17</v>
      </c>
      <c r="B521" s="9" t="s">
        <v>24</v>
      </c>
      <c r="C521" s="1270"/>
      <c r="D521" s="8">
        <f>Псих.общ!BW22</f>
        <v>4.333333333333333</v>
      </c>
      <c r="E521" s="6">
        <f>Псих.общ!BX22</f>
        <v>0</v>
      </c>
      <c r="F521" s="6">
        <f>Псих.общ!BY22</f>
        <v>0</v>
      </c>
    </row>
    <row r="522" spans="1:6" ht="30">
      <c r="A522" s="17">
        <v>18</v>
      </c>
      <c r="B522" s="18" t="s">
        <v>25</v>
      </c>
      <c r="C522" s="1270"/>
      <c r="D522" s="19" t="str">
        <f>'Тех.разра.БД'!AA22</f>
        <v>Нет оценок</v>
      </c>
      <c r="E522" s="17">
        <f>'Тех.разра.БД'!AB22</f>
        <v>0</v>
      </c>
      <c r="F522" s="17">
        <f>'Тех.разра.БД'!AC22</f>
        <v>0</v>
      </c>
    </row>
    <row r="523" spans="1:6">
      <c r="A523" s="6">
        <v>19</v>
      </c>
      <c r="B523" s="18" t="s">
        <v>26</v>
      </c>
      <c r="C523" s="13"/>
      <c r="D523" s="19">
        <f>БЖ!AA22</f>
        <v>4.666666666666667</v>
      </c>
      <c r="E523" s="17">
        <f>БЖ!AB22</f>
        <v>0</v>
      </c>
      <c r="F523" s="17">
        <f>БЖ!AC22</f>
        <v>0</v>
      </c>
    </row>
    <row r="524" spans="1:6" s="5" customFormat="1" ht="30">
      <c r="A524" s="1469" t="s">
        <v>27</v>
      </c>
      <c r="B524" s="1468" t="s">
        <v>634</v>
      </c>
      <c r="C524" s="13">
        <f>'Граф диз и мульт'!Z22</f>
        <v>0</v>
      </c>
      <c r="D524" s="8">
        <f>'Граф диз и мульт'!AA22</f>
        <v>4.75</v>
      </c>
      <c r="E524" s="6">
        <f>'Граф диз и мульт'!AB22</f>
        <v>2</v>
      </c>
      <c r="F524" s="6">
        <f>'Граф диз и мульт'!AC22</f>
        <v>1</v>
      </c>
    </row>
    <row r="525" spans="1:6" ht="30">
      <c r="A525" s="1469" t="s">
        <v>86</v>
      </c>
      <c r="B525" s="7" t="s">
        <v>28</v>
      </c>
      <c r="C525" s="13"/>
      <c r="D525" s="8">
        <f>'Проектирование и дизайн ИС'!AP22</f>
        <v>5</v>
      </c>
      <c r="E525" s="6">
        <f>'Проектирование и дизайн ИС'!AQ22</f>
        <v>2</v>
      </c>
      <c r="F525" s="6">
        <f>'Проектирование и дизайн ИС'!AR22</f>
        <v>10</v>
      </c>
    </row>
    <row r="526" spans="1:6" ht="15.75">
      <c r="A526" s="21"/>
      <c r="B526" s="21"/>
      <c r="C526" s="21"/>
      <c r="D526" s="22">
        <f>IFERROR(AVERAGE(D505:D525),"")</f>
        <v>4.2888458290935079</v>
      </c>
      <c r="E526" s="23">
        <f>SUM(E505:E525)</f>
        <v>6</v>
      </c>
      <c r="F526" s="23">
        <f>SUM(F505:F525)</f>
        <v>30</v>
      </c>
    </row>
    <row r="527" spans="1:6" ht="15.75">
      <c r="A527" s="21"/>
      <c r="B527" s="21"/>
      <c r="C527" s="21"/>
      <c r="D527" s="24"/>
      <c r="E527" s="1271" t="s">
        <v>29</v>
      </c>
      <c r="F527" s="1272"/>
    </row>
    <row r="528" spans="1:6" ht="15.75">
      <c r="A528" s="21"/>
      <c r="B528" s="21"/>
      <c r="C528" s="21"/>
      <c r="D528" s="24"/>
      <c r="E528" s="1273">
        <f>SUM(E526:F526)</f>
        <v>36</v>
      </c>
      <c r="F528" s="1274"/>
    </row>
    <row r="529" spans="1:6" ht="15.75">
      <c r="A529" s="1"/>
      <c r="B529" s="1"/>
      <c r="C529" s="1"/>
      <c r="D529" s="1"/>
      <c r="E529" s="1"/>
      <c r="F529" s="1"/>
    </row>
    <row r="530" spans="1:6" ht="15.75">
      <c r="A530" s="1275" t="str">
        <f>Ин.яз!B23</f>
        <v>Сурков Кирилл Александрович</v>
      </c>
      <c r="B530" s="1261"/>
      <c r="C530" s="1261"/>
      <c r="D530" s="1261"/>
      <c r="E530" s="1261"/>
      <c r="F530" s="1262"/>
    </row>
    <row r="531" spans="1:6">
      <c r="A531" s="1263">
        <f ca="1">TODAY()</f>
        <v>46120</v>
      </c>
      <c r="B531" s="1264"/>
      <c r="C531" s="1264"/>
      <c r="D531" s="1265"/>
      <c r="E531" s="1266" t="s">
        <v>0</v>
      </c>
      <c r="F531" s="1267"/>
    </row>
    <row r="532" spans="1:6" ht="28.5">
      <c r="A532" s="2">
        <v>18</v>
      </c>
      <c r="B532" s="2" t="s">
        <v>2</v>
      </c>
      <c r="C532" s="3" t="s">
        <v>3</v>
      </c>
      <c r="D532" s="4" t="s">
        <v>4</v>
      </c>
      <c r="E532" s="4" t="s">
        <v>5</v>
      </c>
      <c r="F532" s="4" t="s">
        <v>6</v>
      </c>
    </row>
    <row r="533" spans="1:6" ht="30">
      <c r="A533" s="6">
        <v>1</v>
      </c>
      <c r="B533" s="7" t="s">
        <v>7</v>
      </c>
      <c r="C533" s="1268"/>
      <c r="D533" s="8">
        <f>Ин.яз!AN23</f>
        <v>4.7</v>
      </c>
      <c r="E533" s="6">
        <f>Ин.яз!AO23</f>
        <v>0</v>
      </c>
      <c r="F533" s="6">
        <f>Ин.яз!AP23</f>
        <v>10</v>
      </c>
    </row>
    <row r="534" spans="1:6">
      <c r="A534" s="6">
        <v>2</v>
      </c>
      <c r="B534" s="9" t="s">
        <v>8</v>
      </c>
      <c r="C534" s="1269"/>
      <c r="D534" s="8">
        <f>Физ.ра!BL23</f>
        <v>5</v>
      </c>
      <c r="E534" s="6">
        <f>Физ.ра!BM23</f>
        <v>0</v>
      </c>
      <c r="F534" s="6">
        <f>Физ.ра!BN23</f>
        <v>16</v>
      </c>
    </row>
    <row r="535" spans="1:6">
      <c r="A535" s="6">
        <v>3</v>
      </c>
      <c r="B535" s="9" t="s">
        <v>9</v>
      </c>
      <c r="C535" s="10" t="str">
        <f>CONCATENATE(История!AC515)</f>
        <v/>
      </c>
      <c r="D535" s="8">
        <f>История!AD23</f>
        <v>4</v>
      </c>
      <c r="E535" s="6">
        <f>История!AE23</f>
        <v>0</v>
      </c>
      <c r="F535" s="6">
        <f>История!AF23</f>
        <v>0</v>
      </c>
    </row>
    <row r="536" spans="1:6" ht="30">
      <c r="A536" s="6">
        <v>4</v>
      </c>
      <c r="B536" s="9" t="s">
        <v>10</v>
      </c>
      <c r="C536" s="10" t="str">
        <f>CONCATENATE(ПиРИП!AP516)</f>
        <v/>
      </c>
      <c r="D536" s="8">
        <f>ПиРИП!AQ23</f>
        <v>4.7333333333333334</v>
      </c>
      <c r="E536" s="6">
        <f>ПиРИП!AR23</f>
        <v>0</v>
      </c>
      <c r="F536" s="6">
        <f>ПиРИП!AS23</f>
        <v>9</v>
      </c>
    </row>
    <row r="537" spans="1:6">
      <c r="A537" s="6">
        <v>5</v>
      </c>
      <c r="B537" s="9" t="s">
        <v>11</v>
      </c>
      <c r="C537" s="10" t="str">
        <f>CONCATENATE('Элемент выш мат'!BQ515)</f>
        <v/>
      </c>
      <c r="D537" s="8">
        <f>'Элемент выш мат'!BR23</f>
        <v>3.9166666666666665</v>
      </c>
      <c r="E537" s="6">
        <f>'Элемент выш мат'!BS23</f>
        <v>0</v>
      </c>
      <c r="F537" s="6">
        <f>'Элемент выш мат'!BT23</f>
        <v>14</v>
      </c>
    </row>
    <row r="538" spans="1:6" ht="30">
      <c r="A538" s="6">
        <v>6</v>
      </c>
      <c r="B538" s="9" t="s">
        <v>12</v>
      </c>
      <c r="C538" s="10" t="str">
        <f>CONCATENATE('арх.ап.средств'!AP514)</f>
        <v/>
      </c>
      <c r="D538" s="8">
        <f>'арх.ап.средств'!AQ22</f>
        <v>4.2666666666666666</v>
      </c>
      <c r="E538" s="6">
        <f>'арх.ап.средств'!AR22</f>
        <v>0</v>
      </c>
      <c r="F538" s="6">
        <f>'арх.ап.средств'!AS22</f>
        <v>0</v>
      </c>
    </row>
    <row r="539" spans="1:6">
      <c r="A539" s="6">
        <v>7</v>
      </c>
      <c r="B539" s="9" t="s">
        <v>13</v>
      </c>
      <c r="C539" s="10" t="str">
        <f>CONCATENATE('Опер.систем-среды'!AV515)</f>
        <v/>
      </c>
      <c r="D539" s="8">
        <f>'Опер.систем-среды'!AW23</f>
        <v>4</v>
      </c>
      <c r="E539" s="6">
        <f>'Опер.систем-среды'!AX23</f>
        <v>1</v>
      </c>
      <c r="F539" s="6">
        <f>'Опер.систем-среды'!AY23</f>
        <v>12</v>
      </c>
    </row>
    <row r="540" spans="1:6" ht="30">
      <c r="A540" s="6">
        <v>8</v>
      </c>
      <c r="B540" s="9" t="s">
        <v>14</v>
      </c>
      <c r="C540" s="10" t="str">
        <f>CONCATENATE('Основы алгоритмизации'!CC515)</f>
        <v/>
      </c>
      <c r="D540" s="8">
        <f>'Основы алгоритмизации'!CD23</f>
        <v>2.25</v>
      </c>
      <c r="E540" s="6">
        <f>'Основы алгоритмизации'!CE23</f>
        <v>4</v>
      </c>
      <c r="F540" s="6">
        <f>'Основы алгоритмизации'!CF23</f>
        <v>9</v>
      </c>
    </row>
    <row r="541" spans="1:6" ht="30">
      <c r="A541" s="6">
        <v>9</v>
      </c>
      <c r="B541" s="9" t="s">
        <v>16</v>
      </c>
      <c r="C541" s="10" t="str">
        <f>CONCATENATE('Осн.пр.Базы данных'!BB515)</f>
        <v/>
      </c>
      <c r="D541" s="8">
        <f>'Осн.пр.Базы данных'!BC23</f>
        <v>3.75</v>
      </c>
      <c r="E541" s="6">
        <f>'Осн.пр.Базы данных'!BD23</f>
        <v>0</v>
      </c>
      <c r="F541" s="6">
        <f>'Осн.пр.Базы данных'!BE23</f>
        <v>9</v>
      </c>
    </row>
    <row r="542" spans="1:6">
      <c r="A542" s="6">
        <v>10</v>
      </c>
      <c r="B542" s="9" t="s">
        <v>17</v>
      </c>
      <c r="C542" s="10" t="str">
        <f>CONCATENATE('Числ метод'!AI515)</f>
        <v/>
      </c>
      <c r="D542" s="8">
        <f>'Числ метод'!AJ23</f>
        <v>3.8333333333333335</v>
      </c>
      <c r="E542" s="6">
        <f>'Числ метод'!AK23</f>
        <v>0</v>
      </c>
      <c r="F542" s="6">
        <f>'Числ метод'!AL23</f>
        <v>0</v>
      </c>
    </row>
    <row r="543" spans="1:6">
      <c r="A543" s="6">
        <v>11</v>
      </c>
      <c r="B543" s="9" t="s">
        <v>18</v>
      </c>
      <c r="C543" s="11" t="str">
        <f>CONCATENATE('Комп сеть'!Y515)</f>
        <v/>
      </c>
      <c r="D543" s="12">
        <f>'Комп сеть'!Z23</f>
        <v>4.7692307692307692</v>
      </c>
      <c r="E543" s="13">
        <f>'Комп сеть'!AA23</f>
        <v>0</v>
      </c>
      <c r="F543" s="13">
        <f>'Комп сеть'!AB23</f>
        <v>0</v>
      </c>
    </row>
    <row r="544" spans="1:6" ht="30">
      <c r="A544" s="6">
        <v>12</v>
      </c>
      <c r="B544" s="9" t="s">
        <v>19</v>
      </c>
      <c r="C544" s="11" t="str">
        <f>CONCATENATE('Теор.вероят и мат.стат'!BX515)</f>
        <v/>
      </c>
      <c r="D544" s="12">
        <f>'Теор.вероят и мат.стат'!BY23</f>
        <v>3</v>
      </c>
      <c r="E544" s="13">
        <f>'Теор.вероят и мат.стат'!BZ23</f>
        <v>0</v>
      </c>
      <c r="F544" s="13">
        <f>'Теор.вероят и мат.стат'!CA23</f>
        <v>9</v>
      </c>
    </row>
    <row r="545" spans="1:6">
      <c r="A545" s="6">
        <v>13</v>
      </c>
      <c r="B545" s="9" t="s">
        <v>20</v>
      </c>
      <c r="C545" s="11" t="str">
        <f>CONCATENATE('Дискрет.мат '!BQ515)</f>
        <v/>
      </c>
      <c r="D545" s="12">
        <f>'Дискрет.мат '!BR23</f>
        <v>5</v>
      </c>
      <c r="E545" s="13">
        <f>'Дискрет.мат '!BS23</f>
        <v>0</v>
      </c>
      <c r="F545" s="13">
        <f>'Дискрет.мат '!BT23</f>
        <v>9</v>
      </c>
    </row>
    <row r="546" spans="1:6" ht="30">
      <c r="A546" s="6">
        <v>14</v>
      </c>
      <c r="B546" s="9" t="s">
        <v>21</v>
      </c>
      <c r="C546" s="14" t="str">
        <f>CONCATENATE('Разработка кода ИС'!AO515)</f>
        <v/>
      </c>
      <c r="D546" s="15" t="str">
        <f>'Разработка кода ИС'!AP23</f>
        <v>Нет оценок</v>
      </c>
      <c r="E546" s="16">
        <f>'Разработка кода ИС'!AQ23</f>
        <v>0</v>
      </c>
      <c r="F546" s="16">
        <f>'Разработка кода ИС'!AR23</f>
        <v>5</v>
      </c>
    </row>
    <row r="547" spans="1:6" ht="30">
      <c r="A547" s="6">
        <v>15</v>
      </c>
      <c r="B547" s="9" t="s">
        <v>22</v>
      </c>
      <c r="C547" s="1268"/>
      <c r="D547" s="8" t="str">
        <f>'Внедр.подд.комп.систем'!BC23</f>
        <v>Нет оценок</v>
      </c>
      <c r="E547" s="6">
        <f>'Внедр.подд.комп.систем'!BD23</f>
        <v>0</v>
      </c>
      <c r="F547" s="6">
        <f>'Внедр.подд.комп.систем'!BE23</f>
        <v>0</v>
      </c>
    </row>
    <row r="548" spans="1:6" ht="45">
      <c r="A548" s="6">
        <v>16</v>
      </c>
      <c r="B548" s="9" t="s">
        <v>23</v>
      </c>
      <c r="C548" s="1270"/>
      <c r="D548" s="8" t="str">
        <f>'Тестирование ИС'!CA23</f>
        <v>Нет оценок</v>
      </c>
      <c r="E548" s="6">
        <f>'Тестирование ИС'!CB23</f>
        <v>0</v>
      </c>
      <c r="F548" s="6">
        <f>'Тестирование ИС'!CC23</f>
        <v>5</v>
      </c>
    </row>
    <row r="549" spans="1:6">
      <c r="A549" s="6">
        <v>17</v>
      </c>
      <c r="B549" s="9" t="s">
        <v>24</v>
      </c>
      <c r="C549" s="1270"/>
      <c r="D549" s="8">
        <f>Псих.общ!BW23</f>
        <v>4</v>
      </c>
      <c r="E549" s="6">
        <f>Псих.общ!BX23</f>
        <v>1</v>
      </c>
      <c r="F549" s="6">
        <f>Псих.общ!BY23</f>
        <v>5</v>
      </c>
    </row>
    <row r="550" spans="1:6" ht="30">
      <c r="A550" s="17">
        <v>18</v>
      </c>
      <c r="B550" s="18" t="s">
        <v>25</v>
      </c>
      <c r="C550" s="1270"/>
      <c r="D550" s="19" t="str">
        <f>'Тех.разра.БД'!AA23</f>
        <v>Нет оценок</v>
      </c>
      <c r="E550" s="17">
        <f>'Тех.разра.БД'!AB23</f>
        <v>0</v>
      </c>
      <c r="F550" s="17">
        <f>'Тех.разра.БД'!AC23</f>
        <v>0</v>
      </c>
    </row>
    <row r="551" spans="1:6">
      <c r="A551" s="6">
        <v>19</v>
      </c>
      <c r="B551" s="18" t="s">
        <v>26</v>
      </c>
      <c r="C551" s="13"/>
      <c r="D551" s="19">
        <f>БЖ!AA23</f>
        <v>5</v>
      </c>
      <c r="E551" s="17">
        <f>БЖ!AB23</f>
        <v>0</v>
      </c>
      <c r="F551" s="17">
        <f>БЖ!AC23</f>
        <v>10</v>
      </c>
    </row>
    <row r="552" spans="1:6" s="5" customFormat="1" ht="30">
      <c r="A552" s="1469" t="s">
        <v>27</v>
      </c>
      <c r="B552" s="1468" t="s">
        <v>634</v>
      </c>
      <c r="C552" s="13">
        <f>'Граф диз и мульт'!Z23</f>
        <v>0</v>
      </c>
      <c r="D552" s="8">
        <f>'Граф диз и мульт'!AA23</f>
        <v>5</v>
      </c>
      <c r="E552" s="6">
        <f>'Граф диз и мульт'!AB23</f>
        <v>0</v>
      </c>
      <c r="F552" s="6">
        <f>'Граф диз и мульт'!AC23</f>
        <v>5</v>
      </c>
    </row>
    <row r="553" spans="1:6" ht="30">
      <c r="A553" s="1469" t="s">
        <v>86</v>
      </c>
      <c r="B553" s="7" t="s">
        <v>28</v>
      </c>
      <c r="C553" s="13"/>
      <c r="D553" s="8">
        <f>'Проектирование и дизайн ИС'!AP23</f>
        <v>4.4444444444444446</v>
      </c>
      <c r="E553" s="6">
        <f>'Проектирование и дизайн ИС'!AQ23</f>
        <v>2</v>
      </c>
      <c r="F553" s="6">
        <f>'Проектирование и дизайн ИС'!AR23</f>
        <v>6</v>
      </c>
    </row>
    <row r="554" spans="1:6" ht="15.75">
      <c r="A554" s="21"/>
      <c r="B554" s="21"/>
      <c r="C554" s="21"/>
      <c r="D554" s="22">
        <f>IFERROR(AVERAGE(D533:D553),"")</f>
        <v>4.2155103066867765</v>
      </c>
      <c r="E554" s="23">
        <f>SUM(E533:E553)</f>
        <v>8</v>
      </c>
      <c r="F554" s="23">
        <f>SUM(F533:F553)</f>
        <v>133</v>
      </c>
    </row>
    <row r="555" spans="1:6" ht="15.75">
      <c r="A555" s="21"/>
      <c r="B555" s="21"/>
      <c r="C555" s="21"/>
      <c r="D555" s="24"/>
      <c r="E555" s="1271" t="s">
        <v>29</v>
      </c>
      <c r="F555" s="1272"/>
    </row>
    <row r="556" spans="1:6" ht="15.75">
      <c r="A556" s="21"/>
      <c r="B556" s="21"/>
      <c r="C556" s="21"/>
      <c r="D556" s="24"/>
      <c r="E556" s="1273">
        <f>SUM(E554:F554)</f>
        <v>141</v>
      </c>
      <c r="F556" s="1274"/>
    </row>
    <row r="557" spans="1:6" ht="15.75">
      <c r="A557" s="1"/>
      <c r="B557" s="1"/>
      <c r="C557" s="1"/>
      <c r="D557" s="1"/>
      <c r="E557" s="1"/>
      <c r="F557" s="1"/>
    </row>
    <row r="558" spans="1:6" ht="15.75">
      <c r="A558" s="1260" t="str">
        <f>Ин.яз!B24</f>
        <v>Усатов Тимофей Анатольевич</v>
      </c>
      <c r="B558" s="1261"/>
      <c r="C558" s="1261"/>
      <c r="D558" s="1261"/>
      <c r="E558" s="1261"/>
      <c r="F558" s="1262"/>
    </row>
    <row r="559" spans="1:6">
      <c r="A559" s="1263">
        <f ca="1">TODAY()</f>
        <v>46120</v>
      </c>
      <c r="B559" s="1264"/>
      <c r="C559" s="1264"/>
      <c r="D559" s="1265"/>
      <c r="E559" s="1266" t="s">
        <v>0</v>
      </c>
      <c r="F559" s="1267"/>
    </row>
    <row r="560" spans="1:6" ht="28.5">
      <c r="A560" s="2">
        <v>18</v>
      </c>
      <c r="B560" s="2" t="s">
        <v>2</v>
      </c>
      <c r="C560" s="3" t="s">
        <v>3</v>
      </c>
      <c r="D560" s="4" t="s">
        <v>4</v>
      </c>
      <c r="E560" s="4" t="s">
        <v>5</v>
      </c>
      <c r="F560" s="4" t="s">
        <v>6</v>
      </c>
    </row>
    <row r="561" spans="1:6" ht="30">
      <c r="A561" s="6">
        <v>1</v>
      </c>
      <c r="B561" s="7" t="s">
        <v>7</v>
      </c>
      <c r="C561" s="1268"/>
      <c r="D561" s="8">
        <f>Ин.яз!AN24</f>
        <v>3.8571428571428572</v>
      </c>
      <c r="E561" s="6">
        <f>Ин.яз!AO24</f>
        <v>0</v>
      </c>
      <c r="F561" s="6">
        <f>Ин.яз!AP24</f>
        <v>0</v>
      </c>
    </row>
    <row r="562" spans="1:6">
      <c r="A562" s="6">
        <v>2</v>
      </c>
      <c r="B562" s="9" t="s">
        <v>8</v>
      </c>
      <c r="C562" s="1269"/>
      <c r="D562" s="8">
        <f>Физ.ра!BL24</f>
        <v>5</v>
      </c>
      <c r="E562" s="6">
        <f>Физ.ра!BM24</f>
        <v>0</v>
      </c>
      <c r="F562" s="6">
        <f>Физ.ра!BN24</f>
        <v>0</v>
      </c>
    </row>
    <row r="563" spans="1:6">
      <c r="A563" s="6">
        <v>3</v>
      </c>
      <c r="B563" s="9" t="s">
        <v>9</v>
      </c>
      <c r="C563" s="10" t="str">
        <f>CONCATENATE(История!AC542)</f>
        <v/>
      </c>
      <c r="D563" s="8">
        <f>История!AD24</f>
        <v>4.7142857142857144</v>
      </c>
      <c r="E563" s="6">
        <f>История!AE24</f>
        <v>0</v>
      </c>
      <c r="F563" s="6">
        <f>История!AF24</f>
        <v>0</v>
      </c>
    </row>
    <row r="564" spans="1:6" ht="30">
      <c r="A564" s="6">
        <v>4</v>
      </c>
      <c r="B564" s="9" t="s">
        <v>10</v>
      </c>
      <c r="C564" s="10" t="str">
        <f>CONCATENATE(ПиРИП!AP543)</f>
        <v/>
      </c>
      <c r="D564" s="8">
        <f>ПиРИП!AQ24</f>
        <v>4.9130434782608692</v>
      </c>
      <c r="E564" s="6">
        <f>ПиРИП!AR24</f>
        <v>0</v>
      </c>
      <c r="F564" s="6">
        <f>ПиРИП!AS24</f>
        <v>0</v>
      </c>
    </row>
    <row r="565" spans="1:6">
      <c r="A565" s="6">
        <v>5</v>
      </c>
      <c r="B565" s="9" t="s">
        <v>11</v>
      </c>
      <c r="C565" s="10" t="str">
        <f>CONCATENATE('Элемент выш мат'!BQ542)</f>
        <v/>
      </c>
      <c r="D565" s="8">
        <f>'Элемент выш мат'!BR24</f>
        <v>3.6428571428571428</v>
      </c>
      <c r="E565" s="6">
        <f>'Элемент выш мат'!BS24</f>
        <v>0</v>
      </c>
      <c r="F565" s="6">
        <f>'Элемент выш мат'!BT24</f>
        <v>0</v>
      </c>
    </row>
    <row r="566" spans="1:6" ht="30">
      <c r="A566" s="6">
        <v>6</v>
      </c>
      <c r="B566" s="9" t="s">
        <v>12</v>
      </c>
      <c r="C566" s="10" t="str">
        <f>CONCATENATE('арх.ап.средств'!AP541)</f>
        <v/>
      </c>
      <c r="D566" s="8">
        <f>'арх.ап.средств'!AQ23</f>
        <v>4.7333333333333334</v>
      </c>
      <c r="E566" s="6">
        <f>'арх.ап.средств'!AR23</f>
        <v>0</v>
      </c>
      <c r="F566" s="6">
        <f>'арх.ап.средств'!AS23</f>
        <v>0</v>
      </c>
    </row>
    <row r="567" spans="1:6">
      <c r="A567" s="6">
        <v>7</v>
      </c>
      <c r="B567" s="9" t="s">
        <v>13</v>
      </c>
      <c r="C567" s="10" t="str">
        <f>CONCATENATE('Опер.систем-среды'!AV542)</f>
        <v/>
      </c>
      <c r="D567" s="8">
        <f>'Опер.систем-среды'!AW24</f>
        <v>5</v>
      </c>
      <c r="E567" s="6">
        <f>'Опер.систем-среды'!AX24</f>
        <v>0</v>
      </c>
      <c r="F567" s="6">
        <f>'Опер.систем-среды'!AY24</f>
        <v>0</v>
      </c>
    </row>
    <row r="568" spans="1:6" ht="30">
      <c r="A568" s="6">
        <v>8</v>
      </c>
      <c r="B568" s="9" t="s">
        <v>14</v>
      </c>
      <c r="C568" s="10" t="str">
        <f>CONCATENATE('Основы алгоритмизации'!CC542)</f>
        <v/>
      </c>
      <c r="D568" s="8">
        <f>'Основы алгоритмизации'!CD24</f>
        <v>3.3333333333333335</v>
      </c>
      <c r="E568" s="6">
        <f>'Основы алгоритмизации'!CE24</f>
        <v>0</v>
      </c>
      <c r="F568" s="6">
        <f>'Основы алгоритмизации'!CF24</f>
        <v>0</v>
      </c>
    </row>
    <row r="569" spans="1:6" ht="30">
      <c r="A569" s="6">
        <v>9</v>
      </c>
      <c r="B569" s="9" t="s">
        <v>16</v>
      </c>
      <c r="C569" s="10" t="str">
        <f>CONCATENATE('Осн.пр.Базы данных'!BB542)</f>
        <v/>
      </c>
      <c r="D569" s="8">
        <f>'Осн.пр.Базы данных'!BC24</f>
        <v>3</v>
      </c>
      <c r="E569" s="6">
        <f>'Осн.пр.Базы данных'!BD24</f>
        <v>0</v>
      </c>
      <c r="F569" s="6">
        <f>'Осн.пр.Базы данных'!BE24</f>
        <v>0</v>
      </c>
    </row>
    <row r="570" spans="1:6">
      <c r="A570" s="6">
        <v>10</v>
      </c>
      <c r="B570" s="9" t="s">
        <v>17</v>
      </c>
      <c r="C570" s="10" t="str">
        <f>CONCATENATE('Числ метод'!AI542)</f>
        <v/>
      </c>
      <c r="D570" s="8">
        <f>'Числ метод'!AJ24</f>
        <v>3.1428571428571428</v>
      </c>
      <c r="E570" s="6">
        <f>'Числ метод'!AK24</f>
        <v>0</v>
      </c>
      <c r="F570" s="6">
        <f>'Числ метод'!AL24</f>
        <v>0</v>
      </c>
    </row>
    <row r="571" spans="1:6">
      <c r="A571" s="6">
        <v>11</v>
      </c>
      <c r="B571" s="9" t="s">
        <v>18</v>
      </c>
      <c r="C571" s="11" t="str">
        <f>CONCATENATE('Комп сеть'!Y542)</f>
        <v/>
      </c>
      <c r="D571" s="12">
        <f>'Комп сеть'!Z24</f>
        <v>4.6111111111111107</v>
      </c>
      <c r="E571" s="13">
        <f>'Комп сеть'!AA24</f>
        <v>0</v>
      </c>
      <c r="F571" s="13">
        <f>'Комп сеть'!AB24</f>
        <v>0</v>
      </c>
    </row>
    <row r="572" spans="1:6" ht="30">
      <c r="A572" s="6">
        <v>12</v>
      </c>
      <c r="B572" s="9" t="s">
        <v>19</v>
      </c>
      <c r="C572" s="11" t="str">
        <f>CONCATENATE('Теор.вероят и мат.стат'!BX542)</f>
        <v/>
      </c>
      <c r="D572" s="12">
        <f>'Теор.вероят и мат.стат'!BY24</f>
        <v>3.25</v>
      </c>
      <c r="E572" s="13">
        <f>'Теор.вероят и мат.стат'!BZ24</f>
        <v>0</v>
      </c>
      <c r="F572" s="13">
        <f>'Теор.вероят и мат.стат'!CA24</f>
        <v>0</v>
      </c>
    </row>
    <row r="573" spans="1:6">
      <c r="A573" s="6">
        <v>13</v>
      </c>
      <c r="B573" s="9" t="s">
        <v>20</v>
      </c>
      <c r="C573" s="11" t="str">
        <f>CONCATENATE('Дискрет.мат '!BQ542)</f>
        <v/>
      </c>
      <c r="D573" s="12">
        <f>'Дискрет.мат '!BR24</f>
        <v>4</v>
      </c>
      <c r="E573" s="13">
        <f>'Дискрет.мат '!BS24</f>
        <v>0</v>
      </c>
      <c r="F573" s="13">
        <f>'Дискрет.мат '!BT24</f>
        <v>1</v>
      </c>
    </row>
    <row r="574" spans="1:6" ht="30">
      <c r="A574" s="6">
        <v>14</v>
      </c>
      <c r="B574" s="9" t="s">
        <v>21</v>
      </c>
      <c r="C574" s="14" t="str">
        <f>CONCATENATE('Разработка кода ИС'!AO542)</f>
        <v/>
      </c>
      <c r="D574" s="15">
        <f>'Разработка кода ИС'!AP24</f>
        <v>5</v>
      </c>
      <c r="E574" s="16">
        <f>'Разработка кода ИС'!AQ24</f>
        <v>0</v>
      </c>
      <c r="F574" s="16">
        <f>'Разработка кода ИС'!AR24</f>
        <v>0</v>
      </c>
    </row>
    <row r="575" spans="1:6" ht="30">
      <c r="A575" s="6">
        <v>15</v>
      </c>
      <c r="B575" s="9" t="s">
        <v>22</v>
      </c>
      <c r="C575" s="1268"/>
      <c r="D575" s="8" t="str">
        <f>'Внедр.подд.комп.систем'!BC24</f>
        <v>Нет оценок</v>
      </c>
      <c r="E575" s="6">
        <f>'Внедр.подд.комп.систем'!BD24</f>
        <v>0</v>
      </c>
      <c r="F575" s="6">
        <f>'Внедр.подд.комп.систем'!BE24</f>
        <v>0</v>
      </c>
    </row>
    <row r="576" spans="1:6" ht="45">
      <c r="A576" s="6">
        <v>16</v>
      </c>
      <c r="B576" s="9" t="s">
        <v>23</v>
      </c>
      <c r="C576" s="1270"/>
      <c r="D576" s="8">
        <f>'Тестирование ИС'!CA24</f>
        <v>5</v>
      </c>
      <c r="E576" s="6">
        <f>'Тестирование ИС'!CB24</f>
        <v>0</v>
      </c>
      <c r="F576" s="6">
        <f>'Тестирование ИС'!CC24</f>
        <v>0</v>
      </c>
    </row>
    <row r="577" spans="1:6">
      <c r="A577" s="6">
        <v>17</v>
      </c>
      <c r="B577" s="9" t="s">
        <v>24</v>
      </c>
      <c r="C577" s="1270"/>
      <c r="D577" s="8">
        <f>Псих.общ!BW24</f>
        <v>4.25</v>
      </c>
      <c r="E577" s="6">
        <f>Псих.общ!BX24</f>
        <v>0</v>
      </c>
      <c r="F577" s="6">
        <f>Псих.общ!BY24</f>
        <v>0</v>
      </c>
    </row>
    <row r="578" spans="1:6" ht="30">
      <c r="A578" s="17">
        <v>18</v>
      </c>
      <c r="B578" s="18" t="s">
        <v>25</v>
      </c>
      <c r="C578" s="1270"/>
      <c r="D578" s="19" t="str">
        <f>'Тех.разра.БД'!AA24</f>
        <v>Нет оценок</v>
      </c>
      <c r="E578" s="17">
        <f>'Тех.разра.БД'!AB24</f>
        <v>0</v>
      </c>
      <c r="F578" s="17">
        <f>'Тех.разра.БД'!AC24</f>
        <v>0</v>
      </c>
    </row>
    <row r="579" spans="1:6">
      <c r="A579" s="6">
        <v>19</v>
      </c>
      <c r="B579" s="18" t="s">
        <v>26</v>
      </c>
      <c r="C579" s="13"/>
      <c r="D579" s="19">
        <f>БЖ!AA24</f>
        <v>4.875</v>
      </c>
      <c r="E579" s="17">
        <f>БЖ!AB24</f>
        <v>0</v>
      </c>
      <c r="F579" s="17">
        <f>БЖ!AC24</f>
        <v>0</v>
      </c>
    </row>
    <row r="580" spans="1:6" s="5" customFormat="1" ht="30">
      <c r="A580" s="1469" t="s">
        <v>27</v>
      </c>
      <c r="B580" s="1468" t="s">
        <v>634</v>
      </c>
      <c r="C580" s="13">
        <f>'Граф диз и мульт'!Z24</f>
        <v>0</v>
      </c>
      <c r="D580" s="8">
        <f>'Граф диз и мульт'!AA24</f>
        <v>5</v>
      </c>
      <c r="E580" s="6">
        <f>'Граф диз и мульт'!AB24</f>
        <v>0</v>
      </c>
      <c r="F580" s="6">
        <f>'Граф диз и мульт'!AC24</f>
        <v>0</v>
      </c>
    </row>
    <row r="581" spans="1:6" ht="30">
      <c r="A581" s="1469" t="s">
        <v>86</v>
      </c>
      <c r="B581" s="7" t="s">
        <v>28</v>
      </c>
      <c r="C581" s="13"/>
      <c r="D581" s="8">
        <f>'Проектирование и дизайн ИС'!AP24</f>
        <v>4.8666666666666663</v>
      </c>
      <c r="E581" s="6">
        <f>'Проектирование и дизайн ИС'!AQ24</f>
        <v>0</v>
      </c>
      <c r="F581" s="6">
        <f>'Проектирование и дизайн ИС'!AR24</f>
        <v>0</v>
      </c>
    </row>
    <row r="582" spans="1:6" ht="15.75">
      <c r="A582" s="21"/>
      <c r="B582" s="21"/>
      <c r="C582" s="21"/>
      <c r="D582" s="22">
        <f>IFERROR(AVERAGE(D561:D581),"")</f>
        <v>4.3257700410446409</v>
      </c>
      <c r="E582" s="23">
        <f>SUM(E561:E581)</f>
        <v>0</v>
      </c>
      <c r="F582" s="23">
        <f>SUM(F561:F581)</f>
        <v>1</v>
      </c>
    </row>
    <row r="583" spans="1:6" ht="15.75">
      <c r="A583" s="21"/>
      <c r="B583" s="21"/>
      <c r="C583" s="21"/>
      <c r="D583" s="24"/>
      <c r="E583" s="1271" t="s">
        <v>29</v>
      </c>
      <c r="F583" s="1272"/>
    </row>
    <row r="584" spans="1:6" ht="15.75">
      <c r="A584" s="21"/>
      <c r="B584" s="21"/>
      <c r="C584" s="21"/>
      <c r="D584" s="24"/>
      <c r="E584" s="1273">
        <f>SUM(E582:F582)</f>
        <v>1</v>
      </c>
      <c r="F584" s="1274"/>
    </row>
    <row r="585" spans="1:6" ht="15.75">
      <c r="A585" s="1"/>
      <c r="B585" s="1"/>
      <c r="C585" s="1"/>
      <c r="D585" s="1"/>
      <c r="E585" s="1"/>
      <c r="F585" s="1"/>
    </row>
    <row r="586" spans="1:6" ht="15.75">
      <c r="A586" s="1260" t="str">
        <f>Ин.яз!B25</f>
        <v>Халитов Кирилл Родионович</v>
      </c>
      <c r="B586" s="1261"/>
      <c r="C586" s="1261"/>
      <c r="D586" s="1261"/>
      <c r="E586" s="1261"/>
      <c r="F586" s="1262"/>
    </row>
    <row r="587" spans="1:6">
      <c r="A587" s="1263">
        <f ca="1">TODAY()</f>
        <v>46120</v>
      </c>
      <c r="B587" s="1264"/>
      <c r="C587" s="1264"/>
      <c r="D587" s="1265"/>
      <c r="E587" s="1266" t="s">
        <v>0</v>
      </c>
      <c r="F587" s="1267"/>
    </row>
    <row r="588" spans="1:6" ht="28.5">
      <c r="A588" s="2">
        <v>18</v>
      </c>
      <c r="B588" s="2" t="s">
        <v>2</v>
      </c>
      <c r="C588" s="3" t="s">
        <v>3</v>
      </c>
      <c r="D588" s="4" t="s">
        <v>4</v>
      </c>
      <c r="E588" s="4" t="s">
        <v>5</v>
      </c>
      <c r="F588" s="4" t="s">
        <v>6</v>
      </c>
    </row>
    <row r="589" spans="1:6" ht="30">
      <c r="A589" s="6">
        <v>1</v>
      </c>
      <c r="B589" s="7" t="s">
        <v>7</v>
      </c>
      <c r="C589" s="1268"/>
      <c r="D589" s="8">
        <f>Ин.яз!AN25</f>
        <v>4</v>
      </c>
      <c r="E589" s="6">
        <f>Ин.яз!AO25</f>
        <v>2</v>
      </c>
      <c r="F589" s="6">
        <f>Ин.яз!AP25</f>
        <v>14</v>
      </c>
    </row>
    <row r="590" spans="1:6">
      <c r="A590" s="6">
        <v>2</v>
      </c>
      <c r="B590" s="9" t="s">
        <v>8</v>
      </c>
      <c r="C590" s="1269"/>
      <c r="D590" s="8">
        <f>Физ.ра!BL25</f>
        <v>2.5</v>
      </c>
      <c r="E590" s="6">
        <f>Физ.ра!BM25</f>
        <v>1</v>
      </c>
      <c r="F590" s="6">
        <f>Физ.ра!BN25</f>
        <v>13</v>
      </c>
    </row>
    <row r="591" spans="1:6">
      <c r="A591" s="6">
        <v>3</v>
      </c>
      <c r="B591" s="9" t="s">
        <v>9</v>
      </c>
      <c r="C591" s="10" t="str">
        <f>CONCATENATE(История!AC569)</f>
        <v/>
      </c>
      <c r="D591" s="8">
        <f>История!AD25</f>
        <v>3</v>
      </c>
      <c r="E591" s="6">
        <f>История!AE25</f>
        <v>0</v>
      </c>
      <c r="F591" s="6">
        <f>История!AF25</f>
        <v>0</v>
      </c>
    </row>
    <row r="592" spans="1:6" ht="30">
      <c r="A592" s="6">
        <v>4</v>
      </c>
      <c r="B592" s="9" t="s">
        <v>10</v>
      </c>
      <c r="C592" s="10" t="str">
        <f>CONCATENATE(ПиРИП!AP570)</f>
        <v/>
      </c>
      <c r="D592" s="8">
        <f>ПиРИП!AQ25</f>
        <v>4</v>
      </c>
      <c r="E592" s="6">
        <f>ПиРИП!AR25</f>
        <v>3</v>
      </c>
      <c r="F592" s="6">
        <f>ПиРИП!AS25</f>
        <v>17</v>
      </c>
    </row>
    <row r="593" spans="1:6">
      <c r="A593" s="6">
        <v>5</v>
      </c>
      <c r="B593" s="9" t="s">
        <v>11</v>
      </c>
      <c r="C593" s="10" t="str">
        <f>CONCATENATE('Элемент выш мат'!BQ569)</f>
        <v/>
      </c>
      <c r="D593" s="8">
        <f>'Элемент выш мат'!BR25</f>
        <v>2.1666666666666665</v>
      </c>
      <c r="E593" s="6">
        <f>'Элемент выш мат'!BS25</f>
        <v>4</v>
      </c>
      <c r="F593" s="6">
        <f>'Элемент выш мат'!BT25</f>
        <v>18</v>
      </c>
    </row>
    <row r="594" spans="1:6" ht="30">
      <c r="A594" s="6">
        <v>6</v>
      </c>
      <c r="B594" s="9" t="s">
        <v>12</v>
      </c>
      <c r="C594" s="10" t="str">
        <f>CONCATENATE('арх.ап.средств'!AP568)</f>
        <v/>
      </c>
      <c r="D594" s="8">
        <f>'арх.ап.средств'!AQ24</f>
        <v>4.8666666666666663</v>
      </c>
      <c r="E594" s="6">
        <f>'арх.ап.средств'!AR24</f>
        <v>0</v>
      </c>
      <c r="F594" s="6">
        <f>'арх.ап.средств'!AS24</f>
        <v>0</v>
      </c>
    </row>
    <row r="595" spans="1:6">
      <c r="A595" s="6">
        <v>7</v>
      </c>
      <c r="B595" s="9" t="s">
        <v>13</v>
      </c>
      <c r="C595" s="10" t="str">
        <f>CONCATENATE('Опер.систем-среды'!AV569)</f>
        <v/>
      </c>
      <c r="D595" s="8">
        <f>'Опер.систем-среды'!AW25</f>
        <v>2</v>
      </c>
      <c r="E595" s="6">
        <f>'Опер.систем-среды'!AX25</f>
        <v>3</v>
      </c>
      <c r="F595" s="6">
        <f>'Опер.систем-среды'!AY25</f>
        <v>14</v>
      </c>
    </row>
    <row r="596" spans="1:6" ht="30">
      <c r="A596" s="6">
        <v>8</v>
      </c>
      <c r="B596" s="9" t="s">
        <v>14</v>
      </c>
      <c r="C596" s="10" t="str">
        <f>CONCATENATE('Основы алгоритмизации'!CC569)</f>
        <v/>
      </c>
      <c r="D596" s="8">
        <f>'Основы алгоритмизации'!CD25</f>
        <v>2.3333333333333335</v>
      </c>
      <c r="E596" s="6">
        <f>'Основы алгоритмизации'!CE25</f>
        <v>2</v>
      </c>
      <c r="F596" s="6">
        <f>'Основы алгоритмизации'!CF25</f>
        <v>12</v>
      </c>
    </row>
    <row r="597" spans="1:6" ht="30">
      <c r="A597" s="6">
        <v>9</v>
      </c>
      <c r="B597" s="9" t="s">
        <v>16</v>
      </c>
      <c r="C597" s="10" t="str">
        <f>CONCATENATE('Осн.пр.Базы данных'!BB569)</f>
        <v/>
      </c>
      <c r="D597" s="8">
        <f>'Осн.пр.Базы данных'!BC25</f>
        <v>2.5</v>
      </c>
      <c r="E597" s="6">
        <f>'Осн.пр.Базы данных'!BD25</f>
        <v>1</v>
      </c>
      <c r="F597" s="6">
        <f>'Осн.пр.Базы данных'!BE25</f>
        <v>8</v>
      </c>
    </row>
    <row r="598" spans="1:6">
      <c r="A598" s="6">
        <v>10</v>
      </c>
      <c r="B598" s="9" t="s">
        <v>17</v>
      </c>
      <c r="C598" s="10" t="str">
        <f>CONCATENATE('Числ метод'!AI569)</f>
        <v/>
      </c>
      <c r="D598" s="8">
        <f>'Числ метод'!AJ25</f>
        <v>3</v>
      </c>
      <c r="E598" s="6">
        <f>'Числ метод'!AK25</f>
        <v>0</v>
      </c>
      <c r="F598" s="6">
        <f>'Числ метод'!AL25</f>
        <v>0</v>
      </c>
    </row>
    <row r="599" spans="1:6">
      <c r="A599" s="6">
        <v>11</v>
      </c>
      <c r="B599" s="9" t="s">
        <v>18</v>
      </c>
      <c r="C599" s="11" t="str">
        <f>CONCATENATE('Комп сеть'!Y569)</f>
        <v/>
      </c>
      <c r="D599" s="12">
        <f>'Комп сеть'!Z25</f>
        <v>3.8888888888888888</v>
      </c>
      <c r="E599" s="13">
        <f>'Комп сеть'!AA25</f>
        <v>1</v>
      </c>
      <c r="F599" s="13">
        <f>'Комп сеть'!AB25</f>
        <v>8</v>
      </c>
    </row>
    <row r="600" spans="1:6" ht="30">
      <c r="A600" s="6">
        <v>12</v>
      </c>
      <c r="B600" s="9" t="s">
        <v>19</v>
      </c>
      <c r="C600" s="11" t="str">
        <f>CONCATENATE('Теор.вероят и мат.стат'!BX569)</f>
        <v/>
      </c>
      <c r="D600" s="12" t="str">
        <f>'Теор.вероят и мат.стат'!BY25</f>
        <v>Нет оценок</v>
      </c>
      <c r="E600" s="13">
        <f>'Теор.вероят и мат.стат'!BZ25</f>
        <v>0</v>
      </c>
      <c r="F600" s="13">
        <f>'Теор.вероят и мат.стат'!CA25</f>
        <v>9</v>
      </c>
    </row>
    <row r="601" spans="1:6">
      <c r="A601" s="6">
        <v>13</v>
      </c>
      <c r="B601" s="9" t="s">
        <v>20</v>
      </c>
      <c r="C601" s="11" t="str">
        <f>CONCATENATE('Дискрет.мат '!BQ569)</f>
        <v/>
      </c>
      <c r="D601" s="12">
        <f>'Дискрет.мат '!BR25</f>
        <v>2</v>
      </c>
      <c r="E601" s="13">
        <f>'Дискрет.мат '!BS25</f>
        <v>0</v>
      </c>
      <c r="F601" s="13">
        <f>'Дискрет.мат '!BT25</f>
        <v>6</v>
      </c>
    </row>
    <row r="602" spans="1:6" ht="30">
      <c r="A602" s="6">
        <v>14</v>
      </c>
      <c r="B602" s="9" t="s">
        <v>21</v>
      </c>
      <c r="C602" s="14" t="str">
        <f>CONCATENATE('Разработка кода ИС'!AO569)</f>
        <v/>
      </c>
      <c r="D602" s="15" t="str">
        <f>'Разработка кода ИС'!AP25</f>
        <v>Нет оценок</v>
      </c>
      <c r="E602" s="16">
        <f>'Разработка кода ИС'!AQ25</f>
        <v>0</v>
      </c>
      <c r="F602" s="16">
        <f>'Разработка кода ИС'!AR25</f>
        <v>5</v>
      </c>
    </row>
    <row r="603" spans="1:6" ht="30">
      <c r="A603" s="6">
        <v>15</v>
      </c>
      <c r="B603" s="9" t="s">
        <v>22</v>
      </c>
      <c r="C603" s="1268"/>
      <c r="D603" s="8" t="str">
        <f>'Внедр.подд.комп.систем'!BC25</f>
        <v>Нет оценок</v>
      </c>
      <c r="E603" s="6">
        <f>'Внедр.подд.комп.систем'!BD25</f>
        <v>0</v>
      </c>
      <c r="F603" s="6">
        <f>'Внедр.подд.комп.систем'!BE25</f>
        <v>0</v>
      </c>
    </row>
    <row r="604" spans="1:6" ht="45">
      <c r="A604" s="6">
        <v>16</v>
      </c>
      <c r="B604" s="9" t="s">
        <v>23</v>
      </c>
      <c r="C604" s="1270"/>
      <c r="D604" s="8" t="str">
        <f>'Тестирование ИС'!CA25</f>
        <v>Нет оценок</v>
      </c>
      <c r="E604" s="6">
        <f>'Тестирование ИС'!CB25</f>
        <v>0</v>
      </c>
      <c r="F604" s="6">
        <f>'Тестирование ИС'!CC25</f>
        <v>6</v>
      </c>
    </row>
    <row r="605" spans="1:6">
      <c r="A605" s="6">
        <v>17</v>
      </c>
      <c r="B605" s="9" t="s">
        <v>24</v>
      </c>
      <c r="C605" s="1270"/>
      <c r="D605" s="8" t="str">
        <f>Псих.общ!BW25</f>
        <v>Нет оценок</v>
      </c>
      <c r="E605" s="6">
        <f>Псих.общ!BX25</f>
        <v>0</v>
      </c>
      <c r="F605" s="6">
        <f>Псих.общ!BY25</f>
        <v>6</v>
      </c>
    </row>
    <row r="606" spans="1:6" ht="30">
      <c r="A606" s="17">
        <v>18</v>
      </c>
      <c r="B606" s="18" t="s">
        <v>25</v>
      </c>
      <c r="C606" s="1270"/>
      <c r="D606" s="19" t="str">
        <f>'Тех.разра.БД'!AA25</f>
        <v>Нет оценок</v>
      </c>
      <c r="E606" s="17">
        <f>'Тех.разра.БД'!AB25</f>
        <v>0</v>
      </c>
      <c r="F606" s="17">
        <f>'Тех.разра.БД'!AC25</f>
        <v>0</v>
      </c>
    </row>
    <row r="607" spans="1:6">
      <c r="A607" s="6">
        <v>19</v>
      </c>
      <c r="B607" s="18" t="s">
        <v>26</v>
      </c>
      <c r="C607" s="13"/>
      <c r="D607" s="19">
        <f>БЖ!AA25</f>
        <v>2.75</v>
      </c>
      <c r="E607" s="17">
        <f>БЖ!AB25</f>
        <v>0</v>
      </c>
      <c r="F607" s="17">
        <f>БЖ!AC25</f>
        <v>8</v>
      </c>
    </row>
    <row r="608" spans="1:6" s="5" customFormat="1" ht="30">
      <c r="A608" s="1469" t="s">
        <v>27</v>
      </c>
      <c r="B608" s="1468" t="s">
        <v>634</v>
      </c>
      <c r="C608" s="13">
        <f>'Граф диз и мульт'!Z25</f>
        <v>0</v>
      </c>
      <c r="D608" s="8">
        <f>'Граф диз и мульт'!AA25</f>
        <v>3.6666666666666665</v>
      </c>
      <c r="E608" s="6">
        <f>'Граф диз и мульт'!AB25</f>
        <v>0</v>
      </c>
      <c r="F608" s="6">
        <f>'Граф диз и мульт'!AC25</f>
        <v>5</v>
      </c>
    </row>
    <row r="609" spans="1:6" ht="30">
      <c r="A609" s="1469" t="s">
        <v>86</v>
      </c>
      <c r="B609" s="7" t="s">
        <v>28</v>
      </c>
      <c r="C609" s="13"/>
      <c r="D609" s="8">
        <f>'Проектирование и дизайн ИС'!AP25</f>
        <v>4.833333333333333</v>
      </c>
      <c r="E609" s="6">
        <f>'Проектирование и дизайн ИС'!AQ25</f>
        <v>2</v>
      </c>
      <c r="F609" s="6">
        <f>'Проектирование и дизайн ИС'!AR25</f>
        <v>13</v>
      </c>
    </row>
    <row r="610" spans="1:6" ht="15.75">
      <c r="A610" s="21"/>
      <c r="B610" s="21"/>
      <c r="C610" s="21"/>
      <c r="D610" s="22">
        <f>IFERROR(AVERAGE(D589:D609),"")</f>
        <v>3.1670370370370367</v>
      </c>
      <c r="E610" s="23">
        <f>SUM(E589:E609)</f>
        <v>19</v>
      </c>
      <c r="F610" s="23">
        <f>SUM(F589:F609)</f>
        <v>162</v>
      </c>
    </row>
    <row r="611" spans="1:6" ht="15.75">
      <c r="A611" s="21"/>
      <c r="B611" s="21"/>
      <c r="C611" s="21"/>
      <c r="D611" s="24"/>
      <c r="E611" s="1271" t="s">
        <v>29</v>
      </c>
      <c r="F611" s="1272"/>
    </row>
    <row r="612" spans="1:6" ht="15.75">
      <c r="A612" s="21"/>
      <c r="B612" s="21"/>
      <c r="C612" s="21"/>
      <c r="D612" s="24"/>
      <c r="E612" s="1273">
        <f>SUM(E610:F610)</f>
        <v>181</v>
      </c>
      <c r="F612" s="1274"/>
    </row>
    <row r="613" spans="1:6" ht="15.75">
      <c r="A613" s="1"/>
      <c r="B613" s="1"/>
      <c r="C613" s="1"/>
      <c r="D613" s="1"/>
      <c r="E613" s="1"/>
      <c r="F613" s="1"/>
    </row>
    <row r="614" spans="1:6" ht="15.75" hidden="1">
      <c r="A614" s="1260" t="str">
        <f>Ин.яз!B26</f>
        <v>Хорошилов Игорь Александрович</v>
      </c>
      <c r="B614" s="1261"/>
      <c r="C614" s="1261"/>
      <c r="D614" s="1261"/>
      <c r="E614" s="1261"/>
      <c r="F614" s="1262"/>
    </row>
    <row r="615" spans="1:6" hidden="1">
      <c r="A615" s="1263">
        <f ca="1">TODAY()</f>
        <v>46120</v>
      </c>
      <c r="B615" s="1264"/>
      <c r="C615" s="1264"/>
      <c r="D615" s="1265"/>
      <c r="E615" s="1266" t="s">
        <v>0</v>
      </c>
      <c r="F615" s="1267"/>
    </row>
    <row r="616" spans="1:6" ht="28.5" hidden="1">
      <c r="A616" s="2">
        <v>18</v>
      </c>
      <c r="B616" s="2" t="s">
        <v>2</v>
      </c>
      <c r="C616" s="3" t="s">
        <v>3</v>
      </c>
      <c r="D616" s="4" t="s">
        <v>4</v>
      </c>
      <c r="E616" s="4" t="s">
        <v>5</v>
      </c>
      <c r="F616" s="4" t="s">
        <v>6</v>
      </c>
    </row>
    <row r="617" spans="1:6" ht="30" hidden="1">
      <c r="A617" s="6">
        <v>1</v>
      </c>
      <c r="B617" s="7" t="s">
        <v>7</v>
      </c>
      <c r="C617" s="1268"/>
      <c r="D617" s="8" t="str">
        <f>Ин.яз!AN26</f>
        <v>Нет оценок</v>
      </c>
      <c r="E617" s="6">
        <f>Ин.яз!AO26</f>
        <v>0</v>
      </c>
      <c r="F617" s="6">
        <f>Ин.яз!AP26</f>
        <v>0</v>
      </c>
    </row>
    <row r="618" spans="1:6" hidden="1">
      <c r="A618" s="6">
        <v>2</v>
      </c>
      <c r="B618" s="9" t="s">
        <v>8</v>
      </c>
      <c r="C618" s="1269"/>
      <c r="D618" s="8" t="str">
        <f>Физ.ра!BL26</f>
        <v>Нет оценок</v>
      </c>
      <c r="E618" s="6">
        <f>Физ.ра!BM26</f>
        <v>0</v>
      </c>
      <c r="F618" s="6">
        <f>Физ.ра!BN26</f>
        <v>0</v>
      </c>
    </row>
    <row r="619" spans="1:6" hidden="1">
      <c r="A619" s="6">
        <v>3</v>
      </c>
      <c r="B619" s="9" t="s">
        <v>9</v>
      </c>
      <c r="C619" s="10" t="str">
        <f>CONCATENATE(История!AC596)</f>
        <v/>
      </c>
      <c r="D619" s="8" t="str">
        <f>История!AD26</f>
        <v>Нет оценок</v>
      </c>
      <c r="E619" s="6">
        <f>История!AE26</f>
        <v>0</v>
      </c>
      <c r="F619" s="6">
        <f>История!AF26</f>
        <v>0</v>
      </c>
    </row>
    <row r="620" spans="1:6" ht="30" hidden="1">
      <c r="A620" s="6">
        <v>4</v>
      </c>
      <c r="B620" s="9" t="s">
        <v>10</v>
      </c>
      <c r="C620" s="10" t="str">
        <f>CONCATENATE(ПиРИП!AP597)</f>
        <v/>
      </c>
      <c r="D620" s="8" t="str">
        <f>ПиРИП!AQ26</f>
        <v>Нет оценок</v>
      </c>
      <c r="E620" s="6">
        <f>ПиРИП!AR26</f>
        <v>0</v>
      </c>
      <c r="F620" s="6">
        <f>ПиРИП!AS26</f>
        <v>0</v>
      </c>
    </row>
    <row r="621" spans="1:6" hidden="1">
      <c r="A621" s="6">
        <v>5</v>
      </c>
      <c r="B621" s="9" t="s">
        <v>11</v>
      </c>
      <c r="C621" s="10" t="str">
        <f>CONCATENATE('Элемент выш мат'!BQ596)</f>
        <v/>
      </c>
      <c r="D621" s="8" t="str">
        <f>'Элемент выш мат'!BR26</f>
        <v>Нет оценок</v>
      </c>
      <c r="E621" s="6">
        <f>'Элемент выш мат'!BS26</f>
        <v>0</v>
      </c>
      <c r="F621" s="6">
        <f>'Элемент выш мат'!BT26</f>
        <v>0</v>
      </c>
    </row>
    <row r="622" spans="1:6" ht="30" hidden="1">
      <c r="A622" s="6">
        <v>6</v>
      </c>
      <c r="B622" s="9" t="s">
        <v>12</v>
      </c>
      <c r="C622" s="10" t="str">
        <f>CONCATENATE('арх.ап.средств'!AP595)</f>
        <v/>
      </c>
      <c r="D622" s="8" t="str">
        <f>'арх.ап.средств'!AQ25</f>
        <v>Нет оценок</v>
      </c>
      <c r="E622" s="6">
        <f>'арх.ап.средств'!AR25</f>
        <v>0</v>
      </c>
      <c r="F622" s="6">
        <f>'арх.ап.средств'!AS25</f>
        <v>0</v>
      </c>
    </row>
    <row r="623" spans="1:6" hidden="1">
      <c r="A623" s="6">
        <v>7</v>
      </c>
      <c r="B623" s="9" t="s">
        <v>13</v>
      </c>
      <c r="C623" s="10" t="str">
        <f>CONCATENATE('Опер.систем-среды'!AV596)</f>
        <v/>
      </c>
      <c r="D623" s="8" t="str">
        <f>'Опер.систем-среды'!AW26</f>
        <v>Нет оценок</v>
      </c>
      <c r="E623" s="6">
        <f>'Опер.систем-среды'!AX26</f>
        <v>0</v>
      </c>
      <c r="F623" s="6">
        <f>'Опер.систем-среды'!AY26</f>
        <v>0</v>
      </c>
    </row>
    <row r="624" spans="1:6" ht="30" hidden="1">
      <c r="A624" s="6">
        <v>8</v>
      </c>
      <c r="B624" s="9" t="s">
        <v>14</v>
      </c>
      <c r="C624" s="10" t="str">
        <f>CONCATENATE('Основы алгоритмизации'!CC596)</f>
        <v/>
      </c>
      <c r="D624" s="8" t="str">
        <f>'Основы алгоритмизации'!CD26</f>
        <v>Нет оценок</v>
      </c>
      <c r="E624" s="6">
        <f>'Основы алгоритмизации'!CE26</f>
        <v>0</v>
      </c>
      <c r="F624" s="6">
        <f>'Основы алгоритмизации'!CF26</f>
        <v>0</v>
      </c>
    </row>
    <row r="625" spans="1:6" ht="30" hidden="1">
      <c r="A625" s="6">
        <v>9</v>
      </c>
      <c r="B625" s="9" t="s">
        <v>16</v>
      </c>
      <c r="C625" s="10" t="str">
        <f>CONCATENATE('Осн.пр.Базы данных'!BB596)</f>
        <v/>
      </c>
      <c r="D625" s="8" t="str">
        <f>'Осн.пр.Базы данных'!BC26</f>
        <v>Нет оценок</v>
      </c>
      <c r="E625" s="6">
        <f>'Осн.пр.Базы данных'!BD26</f>
        <v>0</v>
      </c>
      <c r="F625" s="6">
        <f>'Осн.пр.Базы данных'!BE26</f>
        <v>0</v>
      </c>
    </row>
    <row r="626" spans="1:6" hidden="1">
      <c r="A626" s="6">
        <v>10</v>
      </c>
      <c r="B626" s="9" t="s">
        <v>17</v>
      </c>
      <c r="C626" s="10" t="str">
        <f>CONCATENATE('Числ метод'!AI596)</f>
        <v/>
      </c>
      <c r="D626" s="8" t="str">
        <f>'Числ метод'!AJ26</f>
        <v>Нет оценок</v>
      </c>
      <c r="E626" s="6">
        <f>'Числ метод'!AK26</f>
        <v>0</v>
      </c>
      <c r="F626" s="6">
        <f>'Числ метод'!AL26</f>
        <v>0</v>
      </c>
    </row>
    <row r="627" spans="1:6" hidden="1">
      <c r="A627" s="6">
        <v>11</v>
      </c>
      <c r="B627" s="9" t="s">
        <v>18</v>
      </c>
      <c r="C627" s="11" t="str">
        <f>CONCATENATE('Комп сеть'!Y596)</f>
        <v/>
      </c>
      <c r="D627" s="12" t="str">
        <f>'Комп сеть'!Z26</f>
        <v>Нет оценок</v>
      </c>
      <c r="E627" s="13">
        <f>'Комп сеть'!AA26</f>
        <v>0</v>
      </c>
      <c r="F627" s="13">
        <f>'Комп сеть'!AB26</f>
        <v>0</v>
      </c>
    </row>
    <row r="628" spans="1:6" ht="30" hidden="1">
      <c r="A628" s="6">
        <v>12</v>
      </c>
      <c r="B628" s="9" t="s">
        <v>19</v>
      </c>
      <c r="C628" s="11" t="str">
        <f>CONCATENATE('Теор.вероят и мат.стат'!BX596)</f>
        <v/>
      </c>
      <c r="D628" s="12" t="str">
        <f>'Теор.вероят и мат.стат'!BY26</f>
        <v>Нет оценок</v>
      </c>
      <c r="E628" s="13">
        <f>'Теор.вероят и мат.стат'!BZ26</f>
        <v>0</v>
      </c>
      <c r="F628" s="13">
        <f>'Теор.вероят и мат.стат'!CA26</f>
        <v>0</v>
      </c>
    </row>
    <row r="629" spans="1:6" hidden="1">
      <c r="A629" s="6">
        <v>13</v>
      </c>
      <c r="B629" s="9" t="s">
        <v>20</v>
      </c>
      <c r="C629" s="11" t="str">
        <f>CONCATENATE('Дискрет.мат '!BQ596)</f>
        <v/>
      </c>
      <c r="D629" s="12" t="str">
        <f>'Дискрет.мат '!BR26</f>
        <v>Нет оценок</v>
      </c>
      <c r="E629" s="13">
        <f>'Дискрет.мат '!BS26</f>
        <v>0</v>
      </c>
      <c r="F629" s="13">
        <f>'Дискрет.мат '!BT26</f>
        <v>0</v>
      </c>
    </row>
    <row r="630" spans="1:6" ht="30" hidden="1">
      <c r="A630" s="6">
        <v>14</v>
      </c>
      <c r="B630" s="9" t="s">
        <v>21</v>
      </c>
      <c r="C630" s="14" t="str">
        <f>CONCATENATE('Разработка кода ИС'!AO596)</f>
        <v/>
      </c>
      <c r="D630" s="15" t="str">
        <f>'Разработка кода ИС'!AP26</f>
        <v>Нет оценок</v>
      </c>
      <c r="E630" s="16">
        <f>'Разработка кода ИС'!AQ26</f>
        <v>0</v>
      </c>
      <c r="F630" s="16">
        <f>'Разработка кода ИС'!AR26</f>
        <v>0</v>
      </c>
    </row>
    <row r="631" spans="1:6" ht="30" hidden="1">
      <c r="A631" s="6">
        <v>15</v>
      </c>
      <c r="B631" s="9" t="s">
        <v>22</v>
      </c>
      <c r="C631" s="1268"/>
      <c r="D631" s="8" t="str">
        <f>'Внедр.подд.комп.систем'!BC26</f>
        <v>Нет оценок</v>
      </c>
      <c r="E631" s="6">
        <f>'Внедр.подд.комп.систем'!BD26</f>
        <v>0</v>
      </c>
      <c r="F631" s="6">
        <f>'Внедр.подд.комп.систем'!BE26</f>
        <v>0</v>
      </c>
    </row>
    <row r="632" spans="1:6" ht="45" hidden="1">
      <c r="A632" s="6">
        <v>16</v>
      </c>
      <c r="B632" s="9" t="s">
        <v>23</v>
      </c>
      <c r="C632" s="1270"/>
      <c r="D632" s="8" t="str">
        <f>'Тестирование ИС'!CA26</f>
        <v>Нет оценок</v>
      </c>
      <c r="E632" s="6">
        <f>'Тестирование ИС'!CB26</f>
        <v>0</v>
      </c>
      <c r="F632" s="6">
        <f>'Тестирование ИС'!CC26</f>
        <v>0</v>
      </c>
    </row>
    <row r="633" spans="1:6" hidden="1">
      <c r="A633" s="6">
        <v>17</v>
      </c>
      <c r="B633" s="9" t="s">
        <v>24</v>
      </c>
      <c r="C633" s="1270"/>
      <c r="D633" s="8" t="str">
        <f>Псих.общ!BW26</f>
        <v>Нет оценок</v>
      </c>
      <c r="E633" s="6">
        <f>Псих.общ!BX26</f>
        <v>0</v>
      </c>
      <c r="F633" s="6">
        <f>Псих.общ!BY26</f>
        <v>0</v>
      </c>
    </row>
    <row r="634" spans="1:6" ht="30" hidden="1">
      <c r="A634" s="17">
        <v>18</v>
      </c>
      <c r="B634" s="18" t="s">
        <v>25</v>
      </c>
      <c r="C634" s="1270"/>
      <c r="D634" s="19" t="str">
        <f>'Тех.разра.БД'!AA26</f>
        <v>Нет оценок</v>
      </c>
      <c r="E634" s="17">
        <f>'Тех.разра.БД'!AB26</f>
        <v>0</v>
      </c>
      <c r="F634" s="17">
        <f>'Тех.разра.БД'!AC26</f>
        <v>0</v>
      </c>
    </row>
    <row r="635" spans="1:6" hidden="1">
      <c r="A635" s="6">
        <v>19</v>
      </c>
      <c r="B635" s="18" t="s">
        <v>26</v>
      </c>
      <c r="C635" s="13"/>
      <c r="D635" s="19" t="str">
        <f>БЖ!AA26</f>
        <v>Нет оценок</v>
      </c>
      <c r="E635" s="17">
        <f>БЖ!AB26</f>
        <v>0</v>
      </c>
      <c r="F635" s="17">
        <f>БЖ!AC26</f>
        <v>0</v>
      </c>
    </row>
    <row r="636" spans="1:6" ht="30" hidden="1">
      <c r="A636" s="20" t="s">
        <v>27</v>
      </c>
      <c r="B636" s="7" t="s">
        <v>28</v>
      </c>
      <c r="C636" s="13"/>
      <c r="D636" s="8" t="str">
        <f>'Проектирование и дизайн ИС'!AP26</f>
        <v>Нет оценок</v>
      </c>
      <c r="E636" s="6">
        <f>'Проектирование и дизайн ИС'!AQ26</f>
        <v>0</v>
      </c>
      <c r="F636" s="6">
        <f>'Проектирование и дизайн ИС'!AR26</f>
        <v>0</v>
      </c>
    </row>
    <row r="637" spans="1:6" hidden="1">
      <c r="A637" s="26"/>
      <c r="B637" s="27"/>
      <c r="C637" s="26"/>
      <c r="D637" s="22" t="str">
        <f>IFERROR(AVERAGE(D617:D636),"")</f>
        <v/>
      </c>
      <c r="E637" s="23">
        <f>SUM(E617:E636)</f>
        <v>0</v>
      </c>
      <c r="F637" s="23">
        <f>SUM(F617:F636)</f>
        <v>0</v>
      </c>
    </row>
    <row r="638" spans="1:6" ht="15.75" hidden="1">
      <c r="A638" s="21"/>
      <c r="B638" s="21"/>
      <c r="C638" s="21"/>
      <c r="D638" s="24"/>
      <c r="E638" s="1271" t="s">
        <v>29</v>
      </c>
      <c r="F638" s="1272"/>
    </row>
    <row r="639" spans="1:6" ht="15.75" hidden="1">
      <c r="A639" s="21"/>
      <c r="B639" s="21"/>
      <c r="C639" s="21"/>
      <c r="D639" s="24"/>
      <c r="E639" s="1273">
        <f>SUM(E637:F637)</f>
        <v>0</v>
      </c>
      <c r="F639" s="1274"/>
    </row>
    <row r="640" spans="1:6" ht="15.75" hidden="1">
      <c r="A640" s="1"/>
      <c r="B640" s="1"/>
      <c r="C640" s="1"/>
      <c r="D640" s="1"/>
      <c r="E640" s="1"/>
      <c r="F640" s="1"/>
    </row>
    <row r="641" spans="1:6" ht="15.75">
      <c r="A641" s="1260" t="str">
        <f>Ин.яз!B27</f>
        <v>Хрычев Мирон Евгеньевич</v>
      </c>
      <c r="B641" s="1261"/>
      <c r="C641" s="1261"/>
      <c r="D641" s="1261"/>
      <c r="E641" s="1261"/>
      <c r="F641" s="1262"/>
    </row>
    <row r="642" spans="1:6">
      <c r="A642" s="1263">
        <f ca="1">TODAY()</f>
        <v>46120</v>
      </c>
      <c r="B642" s="1264"/>
      <c r="C642" s="1264"/>
      <c r="D642" s="1265"/>
      <c r="E642" s="1266" t="s">
        <v>0</v>
      </c>
      <c r="F642" s="1267"/>
    </row>
    <row r="643" spans="1:6" ht="28.5">
      <c r="A643" s="2">
        <v>18</v>
      </c>
      <c r="B643" s="2" t="s">
        <v>2</v>
      </c>
      <c r="C643" s="3" t="s">
        <v>3</v>
      </c>
      <c r="D643" s="4" t="s">
        <v>4</v>
      </c>
      <c r="E643" s="4" t="s">
        <v>5</v>
      </c>
      <c r="F643" s="4" t="s">
        <v>6</v>
      </c>
    </row>
    <row r="644" spans="1:6" ht="30">
      <c r="A644" s="6">
        <v>1</v>
      </c>
      <c r="B644" s="7" t="s">
        <v>7</v>
      </c>
      <c r="C644" s="1268"/>
      <c r="D644" s="8">
        <f>Ин.яз!AN27</f>
        <v>3.1666666666666665</v>
      </c>
      <c r="E644" s="6">
        <f>Ин.яз!AO27</f>
        <v>0</v>
      </c>
      <c r="F644" s="6">
        <f>Ин.яз!AP27</f>
        <v>6</v>
      </c>
    </row>
    <row r="645" spans="1:6">
      <c r="A645" s="6">
        <v>2</v>
      </c>
      <c r="B645" s="9" t="s">
        <v>8</v>
      </c>
      <c r="C645" s="1269"/>
      <c r="D645" s="8">
        <f>Физ.ра!BL27</f>
        <v>5</v>
      </c>
      <c r="E645" s="6">
        <f>Физ.ра!BM27</f>
        <v>8</v>
      </c>
      <c r="F645" s="6">
        <f>Физ.ра!BN27</f>
        <v>1</v>
      </c>
    </row>
    <row r="646" spans="1:6">
      <c r="A646" s="6">
        <v>3</v>
      </c>
      <c r="B646" s="9" t="s">
        <v>9</v>
      </c>
      <c r="C646" s="10" t="str">
        <f>CONCATENATE(История!AC623)</f>
        <v/>
      </c>
      <c r="D646" s="8">
        <f>История!AD27</f>
        <v>3</v>
      </c>
      <c r="E646" s="6">
        <f>История!AE27</f>
        <v>0</v>
      </c>
      <c r="F646" s="6">
        <f>История!AF27</f>
        <v>0</v>
      </c>
    </row>
    <row r="647" spans="1:6" ht="30">
      <c r="A647" s="6">
        <v>4</v>
      </c>
      <c r="B647" s="9" t="s">
        <v>10</v>
      </c>
      <c r="C647" s="10" t="str">
        <f>CONCATENATE(ПиРИП!AP624)</f>
        <v/>
      </c>
      <c r="D647" s="8">
        <f>ПиРИП!AQ27</f>
        <v>3.6153846153846154</v>
      </c>
      <c r="E647" s="6">
        <f>ПиРИП!AR27</f>
        <v>2</v>
      </c>
      <c r="F647" s="6">
        <f>ПиРИП!AS27</f>
        <v>3</v>
      </c>
    </row>
    <row r="648" spans="1:6">
      <c r="A648" s="6">
        <v>5</v>
      </c>
      <c r="B648" s="9" t="s">
        <v>11</v>
      </c>
      <c r="C648" s="10" t="str">
        <f>CONCATENATE('Элемент выш мат'!BQ623)</f>
        <v/>
      </c>
      <c r="D648" s="8">
        <f>'Элемент выш мат'!BR27</f>
        <v>2.7777777777777777</v>
      </c>
      <c r="E648" s="6">
        <f>'Элемент выш мат'!BS27</f>
        <v>0</v>
      </c>
      <c r="F648" s="6">
        <f>'Элемент выш мат'!BT27</f>
        <v>5</v>
      </c>
    </row>
    <row r="649" spans="1:6" ht="30">
      <c r="A649" s="6">
        <v>6</v>
      </c>
      <c r="B649" s="9" t="s">
        <v>12</v>
      </c>
      <c r="C649" s="10" t="str">
        <f>CONCATENATE('арх.ап.средств'!AP622)</f>
        <v/>
      </c>
      <c r="D649" s="8">
        <f>'арх.ап.средств'!AQ26</f>
        <v>3.1333333333333333</v>
      </c>
      <c r="E649" s="6">
        <f>'арх.ап.средств'!AR26</f>
        <v>1</v>
      </c>
      <c r="F649" s="6">
        <f>'арх.ап.средств'!AS26</f>
        <v>0</v>
      </c>
    </row>
    <row r="650" spans="1:6">
      <c r="A650" s="6">
        <v>7</v>
      </c>
      <c r="B650" s="9" t="s">
        <v>13</v>
      </c>
      <c r="C650" s="10" t="str">
        <f>CONCATENATE('Опер.систем-среды'!AV623)</f>
        <v/>
      </c>
      <c r="D650" s="8">
        <f>'Опер.систем-среды'!AW27</f>
        <v>3</v>
      </c>
      <c r="E650" s="6">
        <f>'Опер.систем-среды'!AX27</f>
        <v>2</v>
      </c>
      <c r="F650" s="6">
        <f>'Опер.систем-среды'!AY27</f>
        <v>3</v>
      </c>
    </row>
    <row r="651" spans="1:6" ht="30">
      <c r="A651" s="6">
        <v>8</v>
      </c>
      <c r="B651" s="9" t="s">
        <v>14</v>
      </c>
      <c r="C651" s="10" t="str">
        <f>CONCATENATE('Основы алгоритмизации'!CC623)</f>
        <v/>
      </c>
      <c r="D651" s="8">
        <f>'Основы алгоритмизации'!CD27</f>
        <v>2.5454545454545454</v>
      </c>
      <c r="E651" s="6">
        <f>'Основы алгоритмизации'!CE27</f>
        <v>1</v>
      </c>
      <c r="F651" s="6">
        <f>'Основы алгоритмизации'!CF27</f>
        <v>1</v>
      </c>
    </row>
    <row r="652" spans="1:6" ht="30">
      <c r="A652" s="6">
        <v>9</v>
      </c>
      <c r="B652" s="9" t="s">
        <v>16</v>
      </c>
      <c r="C652" s="10" t="str">
        <f>CONCATENATE('Осн.пр.Базы данных'!BB623)</f>
        <v/>
      </c>
      <c r="D652" s="8">
        <f>'Осн.пр.Базы данных'!BC27</f>
        <v>2.6666666666666665</v>
      </c>
      <c r="E652" s="6">
        <f>'Осн.пр.Базы данных'!BD27</f>
        <v>1</v>
      </c>
      <c r="F652" s="6">
        <f>'Осн.пр.Базы данных'!BE27</f>
        <v>4</v>
      </c>
    </row>
    <row r="653" spans="1:6">
      <c r="A653" s="6">
        <v>10</v>
      </c>
      <c r="B653" s="9" t="s">
        <v>17</v>
      </c>
      <c r="C653" s="10" t="str">
        <f>CONCATENATE('Числ метод'!AI623)</f>
        <v/>
      </c>
      <c r="D653" s="8">
        <f>'Числ метод'!AJ27</f>
        <v>2.3333333333333335</v>
      </c>
      <c r="E653" s="6">
        <f>'Числ метод'!AK27</f>
        <v>1</v>
      </c>
      <c r="F653" s="6">
        <f>'Числ метод'!AL27</f>
        <v>2</v>
      </c>
    </row>
    <row r="654" spans="1:6">
      <c r="A654" s="6">
        <v>11</v>
      </c>
      <c r="B654" s="9" t="s">
        <v>18</v>
      </c>
      <c r="C654" s="11" t="str">
        <f>CONCATENATE('Комп сеть'!Y623)</f>
        <v/>
      </c>
      <c r="D654" s="12">
        <f>'Комп сеть'!Z27</f>
        <v>4.2222222222222223</v>
      </c>
      <c r="E654" s="13">
        <f>'Комп сеть'!AA27</f>
        <v>0</v>
      </c>
      <c r="F654" s="13">
        <f>'Комп сеть'!AB27</f>
        <v>0</v>
      </c>
    </row>
    <row r="655" spans="1:6" ht="30">
      <c r="A655" s="6">
        <v>12</v>
      </c>
      <c r="B655" s="9" t="s">
        <v>19</v>
      </c>
      <c r="C655" s="11" t="str">
        <f>CONCATENATE('Теор.вероят и мат.стат'!BX623)</f>
        <v/>
      </c>
      <c r="D655" s="12">
        <f>'Теор.вероят и мат.стат'!BY27</f>
        <v>2</v>
      </c>
      <c r="E655" s="13">
        <f>'Теор.вероят и мат.стат'!BZ27</f>
        <v>0</v>
      </c>
      <c r="F655" s="13">
        <f>'Теор.вероят и мат.стат'!CA27</f>
        <v>2</v>
      </c>
    </row>
    <row r="656" spans="1:6">
      <c r="A656" s="6">
        <v>13</v>
      </c>
      <c r="B656" s="9" t="s">
        <v>20</v>
      </c>
      <c r="C656" s="11" t="str">
        <f>CONCATENATE('Дискрет.мат '!BQ623)</f>
        <v/>
      </c>
      <c r="D656" s="12">
        <f>'Дискрет.мат '!BR27</f>
        <v>2</v>
      </c>
      <c r="E656" s="13">
        <f>'Дискрет.мат '!BS27</f>
        <v>0</v>
      </c>
      <c r="F656" s="13">
        <f>'Дискрет.мат '!BT27</f>
        <v>4</v>
      </c>
    </row>
    <row r="657" spans="1:6" ht="30">
      <c r="A657" s="6">
        <v>14</v>
      </c>
      <c r="B657" s="9" t="s">
        <v>21</v>
      </c>
      <c r="C657" s="14" t="str">
        <f>CONCATENATE('Разработка кода ИС'!AO623)</f>
        <v/>
      </c>
      <c r="D657" s="15">
        <f>'Разработка кода ИС'!AP27</f>
        <v>2</v>
      </c>
      <c r="E657" s="16">
        <f>'Разработка кода ИС'!AQ27</f>
        <v>0</v>
      </c>
      <c r="F657" s="16">
        <f>'Разработка кода ИС'!AR27</f>
        <v>1</v>
      </c>
    </row>
    <row r="658" spans="1:6" ht="30">
      <c r="A658" s="6">
        <v>15</v>
      </c>
      <c r="B658" s="9" t="s">
        <v>22</v>
      </c>
      <c r="C658" s="1268"/>
      <c r="D658" s="8" t="str">
        <f>'Внедр.подд.комп.систем'!BC27</f>
        <v>Нет оценок</v>
      </c>
      <c r="E658" s="6">
        <f>'Внедр.подд.комп.систем'!BD27</f>
        <v>0</v>
      </c>
      <c r="F658" s="6">
        <f>'Внедр.подд.комп.систем'!BE27</f>
        <v>0</v>
      </c>
    </row>
    <row r="659" spans="1:6" ht="45">
      <c r="A659" s="6">
        <v>16</v>
      </c>
      <c r="B659" s="9" t="s">
        <v>23</v>
      </c>
      <c r="C659" s="1270"/>
      <c r="D659" s="8">
        <f>'Тестирование ИС'!CA27</f>
        <v>5</v>
      </c>
      <c r="E659" s="6">
        <f>'Тестирование ИС'!CB27</f>
        <v>0</v>
      </c>
      <c r="F659" s="6">
        <f>'Тестирование ИС'!CC27</f>
        <v>0</v>
      </c>
    </row>
    <row r="660" spans="1:6">
      <c r="A660" s="6">
        <v>17</v>
      </c>
      <c r="B660" s="9" t="s">
        <v>24</v>
      </c>
      <c r="C660" s="1270"/>
      <c r="D660" s="8">
        <f>Псих.общ!BW27</f>
        <v>4</v>
      </c>
      <c r="E660" s="6">
        <f>Псих.общ!BX27</f>
        <v>0</v>
      </c>
      <c r="F660" s="6">
        <f>Псих.общ!BY27</f>
        <v>4</v>
      </c>
    </row>
    <row r="661" spans="1:6" ht="30">
      <c r="A661" s="17">
        <v>18</v>
      </c>
      <c r="B661" s="18" t="s">
        <v>25</v>
      </c>
      <c r="C661" s="1270"/>
      <c r="D661" s="19" t="str">
        <f>'Тех.разра.БД'!AA27</f>
        <v>Нет оценок</v>
      </c>
      <c r="E661" s="17">
        <f>'Тех.разра.БД'!AB27</f>
        <v>0</v>
      </c>
      <c r="F661" s="17">
        <f>'Тех.разра.БД'!AC27</f>
        <v>0</v>
      </c>
    </row>
    <row r="662" spans="1:6">
      <c r="A662" s="6">
        <v>19</v>
      </c>
      <c r="B662" s="18" t="s">
        <v>26</v>
      </c>
      <c r="C662" s="13"/>
      <c r="D662" s="19">
        <f>БЖ!AA27</f>
        <v>4.2307692307692308</v>
      </c>
      <c r="E662" s="17">
        <f>БЖ!AB27</f>
        <v>1</v>
      </c>
      <c r="F662" s="17">
        <f>БЖ!AC27</f>
        <v>0</v>
      </c>
    </row>
    <row r="663" spans="1:6" s="5" customFormat="1" ht="30">
      <c r="A663" s="1469" t="s">
        <v>27</v>
      </c>
      <c r="B663" s="1468" t="s">
        <v>634</v>
      </c>
      <c r="C663" s="13">
        <f>'Граф диз и мульт'!Z27</f>
        <v>0</v>
      </c>
      <c r="D663" s="8">
        <f>'Граф диз и мульт'!AA27</f>
        <v>5</v>
      </c>
      <c r="E663" s="6">
        <f>'Граф диз и мульт'!AB27</f>
        <v>0</v>
      </c>
      <c r="F663" s="6">
        <f>'Граф диз и мульт'!AC27</f>
        <v>2</v>
      </c>
    </row>
    <row r="664" spans="1:6" ht="30">
      <c r="A664" s="1469" t="s">
        <v>86</v>
      </c>
      <c r="B664" s="7" t="s">
        <v>28</v>
      </c>
      <c r="C664" s="13"/>
      <c r="D664" s="8">
        <f>'Проектирование и дизайн ИС'!AP27</f>
        <v>3.5333333333333332</v>
      </c>
      <c r="E664" s="6">
        <f>'Проектирование и дизайн ИС'!AQ27</f>
        <v>0</v>
      </c>
      <c r="F664" s="6">
        <f>'Проектирование и дизайн ИС'!AR27</f>
        <v>2</v>
      </c>
    </row>
    <row r="665" spans="1:6" ht="15.75">
      <c r="A665" s="21"/>
      <c r="B665" s="21"/>
      <c r="C665" s="21"/>
      <c r="D665" s="22">
        <f>IFERROR(AVERAGE(D644:D664),"")</f>
        <v>3.3276285118390385</v>
      </c>
      <c r="E665" s="23">
        <f>SUM(E644:E664)</f>
        <v>17</v>
      </c>
      <c r="F665" s="23">
        <f>SUM(F644:F664)</f>
        <v>40</v>
      </c>
    </row>
    <row r="666" spans="1:6" ht="15.75">
      <c r="A666" s="21"/>
      <c r="B666" s="21"/>
      <c r="C666" s="21"/>
      <c r="D666" s="24"/>
      <c r="E666" s="1271" t="s">
        <v>29</v>
      </c>
      <c r="F666" s="1272"/>
    </row>
    <row r="667" spans="1:6" ht="15.75">
      <c r="A667" s="21"/>
      <c r="B667" s="21"/>
      <c r="C667" s="21"/>
      <c r="D667" s="24"/>
      <c r="E667" s="1273">
        <f>SUM(E665:F665)</f>
        <v>57</v>
      </c>
      <c r="F667" s="1274"/>
    </row>
    <row r="668" spans="1:6" ht="15.75">
      <c r="A668" s="1"/>
      <c r="B668" s="1"/>
      <c r="C668" s="1"/>
      <c r="D668" s="1"/>
      <c r="E668" s="1"/>
      <c r="F668" s="1"/>
    </row>
    <row r="669" spans="1:6" ht="15.75">
      <c r="A669" s="1260" t="str">
        <f>Ин.яз!B28</f>
        <v>Цапов Илья Валерьевич</v>
      </c>
      <c r="B669" s="1261"/>
      <c r="C669" s="1261"/>
      <c r="D669" s="1261"/>
      <c r="E669" s="1261"/>
      <c r="F669" s="1262"/>
    </row>
    <row r="670" spans="1:6">
      <c r="A670" s="1263">
        <f ca="1">TODAY()</f>
        <v>46120</v>
      </c>
      <c r="B670" s="1264"/>
      <c r="C670" s="1264"/>
      <c r="D670" s="1265"/>
      <c r="E670" s="1266" t="s">
        <v>0</v>
      </c>
      <c r="F670" s="1267"/>
    </row>
    <row r="671" spans="1:6" ht="28.5">
      <c r="A671" s="2">
        <v>18</v>
      </c>
      <c r="B671" s="2" t="s">
        <v>2</v>
      </c>
      <c r="C671" s="3" t="s">
        <v>3</v>
      </c>
      <c r="D671" s="4" t="s">
        <v>4</v>
      </c>
      <c r="E671" s="4" t="s">
        <v>5</v>
      </c>
      <c r="F671" s="4" t="s">
        <v>6</v>
      </c>
    </row>
    <row r="672" spans="1:6" ht="30">
      <c r="A672" s="6">
        <v>1</v>
      </c>
      <c r="B672" s="7" t="s">
        <v>7</v>
      </c>
      <c r="C672" s="1268"/>
      <c r="D672" s="8">
        <f>Ин.яз!AN28</f>
        <v>3.75</v>
      </c>
      <c r="E672" s="6">
        <f>Ин.яз!AO28</f>
        <v>0</v>
      </c>
      <c r="F672" s="6">
        <f>Ин.яз!AP28</f>
        <v>6</v>
      </c>
    </row>
    <row r="673" spans="1:6">
      <c r="A673" s="6">
        <v>2</v>
      </c>
      <c r="B673" s="9" t="s">
        <v>8</v>
      </c>
      <c r="C673" s="1269"/>
      <c r="D673" s="8">
        <f>Физ.ра!BL28</f>
        <v>5</v>
      </c>
      <c r="E673" s="6">
        <f>Физ.ра!BM28</f>
        <v>0</v>
      </c>
      <c r="F673" s="6">
        <f>Физ.ра!BN28</f>
        <v>0</v>
      </c>
    </row>
    <row r="674" spans="1:6">
      <c r="A674" s="6">
        <v>3</v>
      </c>
      <c r="B674" s="9" t="s">
        <v>9</v>
      </c>
      <c r="C674" s="10" t="str">
        <f>CONCATENATE(История!AC650)</f>
        <v/>
      </c>
      <c r="D674" s="8">
        <f>История!AD28</f>
        <v>3.8333333333333335</v>
      </c>
      <c r="E674" s="6">
        <f>История!AE28</f>
        <v>0</v>
      </c>
      <c r="F674" s="6">
        <f>История!AF28</f>
        <v>0</v>
      </c>
    </row>
    <row r="675" spans="1:6" ht="30">
      <c r="A675" s="6">
        <v>4</v>
      </c>
      <c r="B675" s="9" t="s">
        <v>10</v>
      </c>
      <c r="C675" s="10" t="str">
        <f>CONCATENATE(ПиРИП!AP651)</f>
        <v/>
      </c>
      <c r="D675" s="8">
        <f>ПиРИП!AQ28</f>
        <v>4</v>
      </c>
      <c r="E675" s="6">
        <f>ПиРИП!AR28</f>
        <v>0</v>
      </c>
      <c r="F675" s="6">
        <f>ПиРИП!AS28</f>
        <v>6</v>
      </c>
    </row>
    <row r="676" spans="1:6">
      <c r="A676" s="6">
        <v>5</v>
      </c>
      <c r="B676" s="9" t="s">
        <v>11</v>
      </c>
      <c r="C676" s="10" t="str">
        <f>CONCATENATE('Элемент выш мат'!BQ650)</f>
        <v/>
      </c>
      <c r="D676" s="8">
        <f>'Элемент выш мат'!BR28</f>
        <v>3.5555555555555554</v>
      </c>
      <c r="E676" s="6">
        <f>'Элемент выш мат'!BS28</f>
        <v>2</v>
      </c>
      <c r="F676" s="6">
        <f>'Элемент выш мат'!BT28</f>
        <v>9</v>
      </c>
    </row>
    <row r="677" spans="1:6" ht="30">
      <c r="A677" s="6">
        <v>6</v>
      </c>
      <c r="B677" s="9" t="s">
        <v>12</v>
      </c>
      <c r="C677" s="10" t="str">
        <f>CONCATENATE('арх.ап.средств'!AP649)</f>
        <v/>
      </c>
      <c r="D677" s="8">
        <f>'арх.ап.средств'!AQ27</f>
        <v>4.0666666666666664</v>
      </c>
      <c r="E677" s="6">
        <f>'арх.ап.средств'!AR27</f>
        <v>0</v>
      </c>
      <c r="F677" s="6">
        <f>'арх.ап.средств'!AS27</f>
        <v>0</v>
      </c>
    </row>
    <row r="678" spans="1:6">
      <c r="A678" s="6">
        <v>7</v>
      </c>
      <c r="B678" s="9" t="s">
        <v>13</v>
      </c>
      <c r="C678" s="10" t="str">
        <f>CONCATENATE('Опер.систем-среды'!AV650)</f>
        <v/>
      </c>
      <c r="D678" s="8">
        <f>'Опер.систем-среды'!AW28</f>
        <v>5</v>
      </c>
      <c r="E678" s="6">
        <f>'Опер.систем-среды'!AX28</f>
        <v>1</v>
      </c>
      <c r="F678" s="6">
        <f>'Опер.систем-среды'!AY28</f>
        <v>5</v>
      </c>
    </row>
    <row r="679" spans="1:6" ht="30">
      <c r="A679" s="6">
        <v>8</v>
      </c>
      <c r="B679" s="9" t="s">
        <v>14</v>
      </c>
      <c r="C679" s="10" t="str">
        <f>CONCATENATE('Основы алгоритмизации'!CC650)</f>
        <v/>
      </c>
      <c r="D679" s="8">
        <f>'Основы алгоритмизации'!CD28</f>
        <v>2.5454545454545454</v>
      </c>
      <c r="E679" s="6">
        <f>'Основы алгоритмизации'!CE28</f>
        <v>2</v>
      </c>
      <c r="F679" s="6">
        <f>'Основы алгоритмизации'!CF28</f>
        <v>5</v>
      </c>
    </row>
    <row r="680" spans="1:6" ht="30">
      <c r="A680" s="6">
        <v>9</v>
      </c>
      <c r="B680" s="9" t="s">
        <v>16</v>
      </c>
      <c r="C680" s="10" t="str">
        <f>CONCATENATE('Осн.пр.Базы данных'!BB650)</f>
        <v/>
      </c>
      <c r="D680" s="8">
        <f>'Осн.пр.Базы данных'!BC28</f>
        <v>2.25</v>
      </c>
      <c r="E680" s="6">
        <f>'Осн.пр.Базы данных'!BD28</f>
        <v>0</v>
      </c>
      <c r="F680" s="6">
        <f>'Осн.пр.Базы данных'!BE28</f>
        <v>3</v>
      </c>
    </row>
    <row r="681" spans="1:6">
      <c r="A681" s="6">
        <v>10</v>
      </c>
      <c r="B681" s="9" t="s">
        <v>17</v>
      </c>
      <c r="C681" s="10" t="str">
        <f>CONCATENATE('Числ метод'!AI650)</f>
        <v/>
      </c>
      <c r="D681" s="8">
        <f>'Числ метод'!AJ28</f>
        <v>3.4285714285714284</v>
      </c>
      <c r="E681" s="6">
        <f>'Числ метод'!AK28</f>
        <v>0</v>
      </c>
      <c r="F681" s="6">
        <f>'Числ метод'!AL28</f>
        <v>0</v>
      </c>
    </row>
    <row r="682" spans="1:6">
      <c r="A682" s="6">
        <v>11</v>
      </c>
      <c r="B682" s="9" t="s">
        <v>18</v>
      </c>
      <c r="C682" s="11" t="str">
        <f>CONCATENATE('Комп сеть'!Y650)</f>
        <v/>
      </c>
      <c r="D682" s="12">
        <f>'Комп сеть'!Z28</f>
        <v>4.9230769230769234</v>
      </c>
      <c r="E682" s="13">
        <f>'Комп сеть'!AA28</f>
        <v>0</v>
      </c>
      <c r="F682" s="13">
        <f>'Комп сеть'!AB28</f>
        <v>0</v>
      </c>
    </row>
    <row r="683" spans="1:6" ht="30">
      <c r="A683" s="6">
        <v>12</v>
      </c>
      <c r="B683" s="9" t="s">
        <v>19</v>
      </c>
      <c r="C683" s="11" t="str">
        <f>CONCATENATE('Теор.вероят и мат.стат'!BX650)</f>
        <v/>
      </c>
      <c r="D683" s="12">
        <f>'Теор.вероят и мат.стат'!BY28</f>
        <v>4</v>
      </c>
      <c r="E683" s="13">
        <f>'Теор.вероят и мат.стат'!BZ28</f>
        <v>0</v>
      </c>
      <c r="F683" s="13">
        <f>'Теор.вероят и мат.стат'!CA28</f>
        <v>7</v>
      </c>
    </row>
    <row r="684" spans="1:6">
      <c r="A684" s="6">
        <v>13</v>
      </c>
      <c r="B684" s="9" t="s">
        <v>20</v>
      </c>
      <c r="C684" s="11" t="str">
        <f>CONCATENATE('Дискрет.мат '!BQ650)</f>
        <v/>
      </c>
      <c r="D684" s="12">
        <f>'Дискрет.мат '!BR28</f>
        <v>4</v>
      </c>
      <c r="E684" s="13">
        <f>'Дискрет.мат '!BS28</f>
        <v>0</v>
      </c>
      <c r="F684" s="13">
        <f>'Дискрет.мат '!BT28</f>
        <v>5</v>
      </c>
    </row>
    <row r="685" spans="1:6" ht="30">
      <c r="A685" s="6">
        <v>14</v>
      </c>
      <c r="B685" s="9" t="s">
        <v>21</v>
      </c>
      <c r="C685" s="14" t="str">
        <f>CONCATENATE('Разработка кода ИС'!AO650)</f>
        <v/>
      </c>
      <c r="D685" s="15">
        <f>'Разработка кода ИС'!AP28</f>
        <v>2</v>
      </c>
      <c r="E685" s="16">
        <f>'Разработка кода ИС'!AQ28</f>
        <v>0</v>
      </c>
      <c r="F685" s="16">
        <f>'Разработка кода ИС'!AR28</f>
        <v>2</v>
      </c>
    </row>
    <row r="686" spans="1:6" ht="30">
      <c r="A686" s="6">
        <v>15</v>
      </c>
      <c r="B686" s="9" t="s">
        <v>22</v>
      </c>
      <c r="C686" s="1268"/>
      <c r="D686" s="8" t="str">
        <f>'Внедр.подд.комп.систем'!BC28</f>
        <v>Нет оценок</v>
      </c>
      <c r="E686" s="6">
        <f>'Внедр.подд.комп.систем'!BD28</f>
        <v>0</v>
      </c>
      <c r="F686" s="6">
        <f>'Внедр.подд.комп.систем'!BE28</f>
        <v>0</v>
      </c>
    </row>
    <row r="687" spans="1:6" ht="45">
      <c r="A687" s="6">
        <v>16</v>
      </c>
      <c r="B687" s="9" t="s">
        <v>23</v>
      </c>
      <c r="C687" s="1270"/>
      <c r="D687" s="8">
        <f>'Тестирование ИС'!CA28</f>
        <v>5</v>
      </c>
      <c r="E687" s="6">
        <f>'Тестирование ИС'!CB28</f>
        <v>0</v>
      </c>
      <c r="F687" s="6">
        <f>'Тестирование ИС'!CC28</f>
        <v>1</v>
      </c>
    </row>
    <row r="688" spans="1:6">
      <c r="A688" s="6">
        <v>17</v>
      </c>
      <c r="B688" s="9" t="s">
        <v>24</v>
      </c>
      <c r="C688" s="1270"/>
      <c r="D688" s="8" t="str">
        <f>Псих.общ!BW28</f>
        <v>Нет оценок</v>
      </c>
      <c r="E688" s="6">
        <f>Псих.общ!BX28</f>
        <v>0</v>
      </c>
      <c r="F688" s="6">
        <f>Псих.общ!BY28</f>
        <v>4</v>
      </c>
    </row>
    <row r="689" spans="1:6" ht="30">
      <c r="A689" s="17">
        <v>18</v>
      </c>
      <c r="B689" s="18" t="s">
        <v>25</v>
      </c>
      <c r="C689" s="1270"/>
      <c r="D689" s="19" t="str">
        <f>'Тех.разра.БД'!AA28</f>
        <v>Нет оценок</v>
      </c>
      <c r="E689" s="17">
        <f>'Тех.разра.БД'!AB28</f>
        <v>0</v>
      </c>
      <c r="F689" s="17">
        <f>'Тех.разра.БД'!AC28</f>
        <v>0</v>
      </c>
    </row>
    <row r="690" spans="1:6">
      <c r="A690" s="6">
        <v>19</v>
      </c>
      <c r="B690" s="18" t="s">
        <v>26</v>
      </c>
      <c r="C690" s="13"/>
      <c r="D690" s="19">
        <f>БЖ!AA28</f>
        <v>3</v>
      </c>
      <c r="E690" s="17">
        <f>БЖ!AB28</f>
        <v>0</v>
      </c>
      <c r="F690" s="17">
        <f>БЖ!AC28</f>
        <v>0</v>
      </c>
    </row>
    <row r="691" spans="1:6" s="5" customFormat="1" ht="30">
      <c r="A691" s="1469" t="s">
        <v>27</v>
      </c>
      <c r="B691" s="1468" t="s">
        <v>634</v>
      </c>
      <c r="C691" s="13">
        <f>'Граф диз и мульт'!Z28</f>
        <v>0</v>
      </c>
      <c r="D691" s="8">
        <f>'Граф диз и мульт'!AA28</f>
        <v>5</v>
      </c>
      <c r="E691" s="6">
        <f>'Граф диз и мульт'!AB28</f>
        <v>0</v>
      </c>
      <c r="F691" s="6">
        <f>'Граф диз и мульт'!AC28</f>
        <v>0</v>
      </c>
    </row>
    <row r="692" spans="1:6" ht="30">
      <c r="A692" s="1469" t="s">
        <v>86</v>
      </c>
      <c r="B692" s="7" t="s">
        <v>28</v>
      </c>
      <c r="C692" s="13"/>
      <c r="D692" s="8">
        <f>'Проектирование и дизайн ИС'!AP28</f>
        <v>4.5714285714285712</v>
      </c>
      <c r="E692" s="6">
        <f>'Проектирование и дизайн ИС'!AQ28</f>
        <v>1</v>
      </c>
      <c r="F692" s="6">
        <f>'Проектирование и дизайн ИС'!AR28</f>
        <v>9</v>
      </c>
    </row>
    <row r="693" spans="1:6" ht="15.75">
      <c r="A693" s="21"/>
      <c r="B693" s="21"/>
      <c r="C693" s="21"/>
      <c r="D693" s="22">
        <f>IFERROR(AVERAGE(D672:D692),"")</f>
        <v>3.8846715013381683</v>
      </c>
      <c r="E693" s="23">
        <f>SUM(E672:E692)</f>
        <v>6</v>
      </c>
      <c r="F693" s="23">
        <f>SUM(F672:F692)</f>
        <v>62</v>
      </c>
    </row>
    <row r="694" spans="1:6" ht="15.75">
      <c r="A694" s="21"/>
      <c r="B694" s="21"/>
      <c r="C694" s="21"/>
      <c r="D694" s="24"/>
      <c r="E694" s="1271" t="s">
        <v>29</v>
      </c>
      <c r="F694" s="1272"/>
    </row>
    <row r="695" spans="1:6" ht="15.75">
      <c r="A695" s="21"/>
      <c r="B695" s="21"/>
      <c r="C695" s="21"/>
      <c r="D695" s="24"/>
      <c r="E695" s="1273">
        <f>SUM(E693:F693)</f>
        <v>68</v>
      </c>
      <c r="F695" s="1274"/>
    </row>
    <row r="696" spans="1:6" ht="15.75">
      <c r="A696" s="1"/>
      <c r="B696" s="1"/>
      <c r="C696" s="1"/>
      <c r="D696" s="1"/>
      <c r="E696" s="1"/>
      <c r="F696" s="1"/>
    </row>
    <row r="697" spans="1:6" ht="15.75">
      <c r="A697" s="1"/>
      <c r="B697" s="1"/>
      <c r="C697" s="1"/>
      <c r="D697" s="1"/>
      <c r="E697" s="1"/>
      <c r="F697" s="1"/>
    </row>
    <row r="698" spans="1:6" ht="15.75">
      <c r="A698" s="1"/>
      <c r="B698" s="1"/>
      <c r="C698" s="1"/>
      <c r="D698" s="1"/>
      <c r="E698" s="1"/>
      <c r="F698" s="1"/>
    </row>
    <row r="699" spans="1:6" ht="15.75">
      <c r="A699" s="1"/>
      <c r="B699" s="1"/>
      <c r="C699" s="1"/>
      <c r="D699" s="1"/>
      <c r="E699" s="1"/>
      <c r="F699" s="1"/>
    </row>
    <row r="700" spans="1:6" ht="15.75">
      <c r="A700" s="1"/>
      <c r="B700" s="1"/>
      <c r="C700" s="1"/>
      <c r="D700" s="1"/>
      <c r="E700" s="1"/>
      <c r="F700" s="1"/>
    </row>
    <row r="701" spans="1:6" ht="15.75">
      <c r="A701" s="1"/>
      <c r="B701" s="1"/>
      <c r="C701" s="1"/>
      <c r="D701" s="1"/>
      <c r="E701" s="1"/>
      <c r="F701" s="1"/>
    </row>
    <row r="702" spans="1:6" ht="15.75">
      <c r="A702" s="1"/>
      <c r="B702" s="1"/>
      <c r="C702" s="1"/>
      <c r="D702" s="1"/>
      <c r="E702" s="1"/>
      <c r="F702" s="1"/>
    </row>
    <row r="703" spans="1:6" ht="15.75">
      <c r="A703" s="1"/>
      <c r="B703" s="1"/>
      <c r="C703" s="1"/>
      <c r="D703" s="1"/>
      <c r="E703" s="1"/>
      <c r="F703" s="1"/>
    </row>
    <row r="704" spans="1:6" ht="15.75">
      <c r="A704" s="1"/>
      <c r="B704" s="1"/>
      <c r="C704" s="1"/>
      <c r="D704" s="1"/>
      <c r="E704" s="1"/>
      <c r="F704" s="1"/>
    </row>
    <row r="705" spans="1:6" ht="15.75">
      <c r="A705" s="1"/>
      <c r="B705" s="1"/>
      <c r="C705" s="1"/>
      <c r="D705" s="1"/>
      <c r="E705" s="1"/>
      <c r="F705" s="1"/>
    </row>
    <row r="706" spans="1:6" ht="15.75">
      <c r="A706" s="1"/>
      <c r="B706" s="1"/>
      <c r="C706" s="1"/>
      <c r="D706" s="1"/>
      <c r="E706" s="1"/>
      <c r="F706" s="1"/>
    </row>
    <row r="707" spans="1:6" ht="15.75">
      <c r="A707" s="1"/>
      <c r="B707" s="1"/>
      <c r="C707" s="1"/>
      <c r="D707" s="1"/>
      <c r="E707" s="1"/>
      <c r="F707" s="1"/>
    </row>
    <row r="708" spans="1:6" ht="15.75">
      <c r="A708" s="1"/>
      <c r="B708" s="1"/>
      <c r="C708" s="1"/>
      <c r="D708" s="1"/>
      <c r="E708" s="1"/>
      <c r="F708" s="1"/>
    </row>
    <row r="709" spans="1:6" ht="15.75">
      <c r="A709" s="1"/>
      <c r="B709" s="1"/>
      <c r="C709" s="1"/>
      <c r="D709" s="1"/>
      <c r="E709" s="1"/>
      <c r="F709" s="1"/>
    </row>
    <row r="710" spans="1:6" ht="15.75">
      <c r="A710" s="1"/>
      <c r="B710" s="1"/>
      <c r="C710" s="1"/>
      <c r="D710" s="1"/>
      <c r="E710" s="1"/>
      <c r="F710" s="1"/>
    </row>
    <row r="711" spans="1:6" ht="15.75">
      <c r="A711" s="1"/>
      <c r="B711" s="1"/>
      <c r="C711" s="1"/>
      <c r="D711" s="1"/>
      <c r="E711" s="1"/>
      <c r="F711" s="1"/>
    </row>
    <row r="712" spans="1:6" ht="15.75">
      <c r="A712" s="1"/>
      <c r="B712" s="1"/>
      <c r="C712" s="1"/>
      <c r="D712" s="1"/>
      <c r="E712" s="1"/>
      <c r="F712" s="1"/>
    </row>
    <row r="713" spans="1:6" ht="15.75">
      <c r="A713" s="1"/>
      <c r="B713" s="1"/>
      <c r="C713" s="1"/>
      <c r="D713" s="1"/>
      <c r="E713" s="1"/>
      <c r="F713" s="1"/>
    </row>
    <row r="714" spans="1:6" ht="15.75">
      <c r="A714" s="1"/>
      <c r="B714" s="1"/>
      <c r="C714" s="1"/>
      <c r="D714" s="1"/>
      <c r="E714" s="1"/>
      <c r="F714" s="1"/>
    </row>
    <row r="715" spans="1:6" ht="15.75">
      <c r="A715" s="1"/>
      <c r="B715" s="1"/>
      <c r="C715" s="1"/>
      <c r="D715" s="1"/>
      <c r="E715" s="1"/>
      <c r="F715" s="1"/>
    </row>
    <row r="716" spans="1:6" ht="15.75">
      <c r="A716" s="1"/>
      <c r="B716" s="1"/>
      <c r="C716" s="1"/>
      <c r="D716" s="1"/>
      <c r="E716" s="1"/>
      <c r="F716" s="1"/>
    </row>
    <row r="717" spans="1:6" ht="15.75">
      <c r="A717" s="1"/>
      <c r="B717" s="1"/>
      <c r="C717" s="1"/>
      <c r="D717" s="1"/>
      <c r="E717" s="1"/>
      <c r="F717" s="1"/>
    </row>
    <row r="718" spans="1:6" ht="15.75">
      <c r="A718" s="1"/>
      <c r="B718" s="1"/>
      <c r="C718" s="1"/>
      <c r="D718" s="1"/>
      <c r="E718" s="1"/>
      <c r="F718" s="1"/>
    </row>
    <row r="719" spans="1:6" ht="15.75">
      <c r="A719" s="1"/>
      <c r="B719" s="1"/>
      <c r="C719" s="1"/>
      <c r="D719" s="1"/>
      <c r="E719" s="1"/>
      <c r="F719" s="1"/>
    </row>
    <row r="720" spans="1:6" ht="15.75">
      <c r="A720" s="1"/>
      <c r="B720" s="1"/>
      <c r="C720" s="1"/>
      <c r="D720" s="1"/>
      <c r="E720" s="1"/>
      <c r="F720" s="1"/>
    </row>
    <row r="721" spans="1:6" ht="15.75">
      <c r="A721" s="1"/>
      <c r="B721" s="1"/>
      <c r="C721" s="1"/>
      <c r="D721" s="1"/>
      <c r="E721" s="1"/>
      <c r="F721" s="1"/>
    </row>
    <row r="722" spans="1:6" ht="15.75">
      <c r="A722" s="1"/>
      <c r="B722" s="1"/>
      <c r="C722" s="1"/>
      <c r="D722" s="1"/>
      <c r="E722" s="1"/>
      <c r="F722" s="1"/>
    </row>
    <row r="723" spans="1:6" ht="15.75">
      <c r="A723" s="1"/>
      <c r="B723" s="1"/>
      <c r="C723" s="1"/>
      <c r="D723" s="1"/>
      <c r="E723" s="1"/>
      <c r="F723" s="1"/>
    </row>
    <row r="724" spans="1:6" ht="15.75">
      <c r="A724" s="1"/>
      <c r="B724" s="1"/>
      <c r="C724" s="1"/>
      <c r="D724" s="1"/>
      <c r="E724" s="1"/>
      <c r="F724" s="1"/>
    </row>
    <row r="725" spans="1:6" ht="15.75">
      <c r="A725" s="1"/>
      <c r="B725" s="1"/>
      <c r="C725" s="1"/>
      <c r="D725" s="1"/>
      <c r="E725" s="1"/>
      <c r="F725" s="1"/>
    </row>
    <row r="726" spans="1:6" ht="15.75">
      <c r="A726" s="1"/>
      <c r="B726" s="1"/>
      <c r="C726" s="1"/>
      <c r="D726" s="1"/>
      <c r="E726" s="1"/>
      <c r="F726" s="1"/>
    </row>
    <row r="727" spans="1:6" ht="15.75">
      <c r="A727" s="1"/>
      <c r="B727" s="1"/>
      <c r="C727" s="1"/>
      <c r="D727" s="1"/>
      <c r="E727" s="1"/>
      <c r="F727" s="1"/>
    </row>
    <row r="728" spans="1:6" ht="15.75">
      <c r="A728" s="1"/>
      <c r="B728" s="1"/>
      <c r="C728" s="1"/>
      <c r="D728" s="1"/>
      <c r="E728" s="1"/>
      <c r="F728" s="1"/>
    </row>
    <row r="729" spans="1:6" ht="15.75">
      <c r="A729" s="1"/>
      <c r="B729" s="1"/>
      <c r="C729" s="1"/>
      <c r="D729" s="1"/>
      <c r="E729" s="1"/>
      <c r="F729" s="1"/>
    </row>
    <row r="730" spans="1:6" ht="15.75">
      <c r="A730" s="1"/>
      <c r="B730" s="1"/>
      <c r="C730" s="1"/>
      <c r="D730" s="1"/>
      <c r="E730" s="1"/>
      <c r="F730" s="1"/>
    </row>
    <row r="731" spans="1:6" ht="15.75">
      <c r="A731" s="1"/>
      <c r="B731" s="1"/>
      <c r="C731" s="1"/>
      <c r="D731" s="1"/>
      <c r="E731" s="1"/>
      <c r="F731" s="1"/>
    </row>
    <row r="732" spans="1:6" ht="15.75">
      <c r="A732" s="1"/>
      <c r="B732" s="1"/>
      <c r="C732" s="1"/>
      <c r="D732" s="1"/>
      <c r="E732" s="1"/>
      <c r="F732" s="1"/>
    </row>
    <row r="733" spans="1:6" ht="15.75">
      <c r="A733" s="1"/>
      <c r="B733" s="1"/>
      <c r="C733" s="1"/>
      <c r="D733" s="1"/>
      <c r="E733" s="1"/>
      <c r="F733" s="1"/>
    </row>
    <row r="734" spans="1:6" ht="15.75">
      <c r="A734" s="1"/>
      <c r="B734" s="1"/>
      <c r="C734" s="1"/>
      <c r="D734" s="1"/>
      <c r="E734" s="1"/>
      <c r="F734" s="1"/>
    </row>
    <row r="735" spans="1:6" ht="15.75">
      <c r="A735" s="1"/>
      <c r="B735" s="1"/>
      <c r="C735" s="1"/>
      <c r="D735" s="1"/>
      <c r="E735" s="1"/>
      <c r="F735" s="1"/>
    </row>
    <row r="736" spans="1:6" ht="15.75">
      <c r="A736" s="1"/>
      <c r="B736" s="1"/>
      <c r="C736" s="1"/>
      <c r="D736" s="1"/>
      <c r="E736" s="1"/>
      <c r="F736" s="1"/>
    </row>
    <row r="737" spans="1:6" ht="15.75">
      <c r="A737" s="1"/>
      <c r="B737" s="1"/>
      <c r="C737" s="1"/>
      <c r="D737" s="1"/>
      <c r="E737" s="1"/>
      <c r="F737" s="1"/>
    </row>
    <row r="738" spans="1:6" ht="15.75">
      <c r="A738" s="1"/>
      <c r="B738" s="1"/>
      <c r="C738" s="1"/>
      <c r="D738" s="1"/>
      <c r="E738" s="1"/>
      <c r="F738" s="1"/>
    </row>
    <row r="739" spans="1:6" ht="15.75">
      <c r="A739" s="1"/>
      <c r="B739" s="1"/>
      <c r="C739" s="1"/>
      <c r="D739" s="1"/>
      <c r="E739" s="1"/>
      <c r="F739" s="1"/>
    </row>
  </sheetData>
  <mergeCells count="168">
    <mergeCell ref="E666:F666"/>
    <mergeCell ref="E667:F667"/>
    <mergeCell ref="A669:F669"/>
    <mergeCell ref="A670:D670"/>
    <mergeCell ref="E670:F670"/>
    <mergeCell ref="C672:C673"/>
    <mergeCell ref="C686:C689"/>
    <mergeCell ref="E694:F694"/>
    <mergeCell ref="E695:F695"/>
    <mergeCell ref="C617:C618"/>
    <mergeCell ref="C631:C634"/>
    <mergeCell ref="E638:F638"/>
    <mergeCell ref="E639:F639"/>
    <mergeCell ref="A641:F641"/>
    <mergeCell ref="A642:D642"/>
    <mergeCell ref="E642:F642"/>
    <mergeCell ref="C644:C645"/>
    <mergeCell ref="C658:C661"/>
    <mergeCell ref="A586:F586"/>
    <mergeCell ref="A587:D587"/>
    <mergeCell ref="E587:F587"/>
    <mergeCell ref="C589:C590"/>
    <mergeCell ref="C603:C606"/>
    <mergeCell ref="E611:F611"/>
    <mergeCell ref="E612:F612"/>
    <mergeCell ref="A614:F614"/>
    <mergeCell ref="A615:D615"/>
    <mergeCell ref="E615:F615"/>
    <mergeCell ref="E555:F555"/>
    <mergeCell ref="E556:F556"/>
    <mergeCell ref="A558:F558"/>
    <mergeCell ref="A559:D559"/>
    <mergeCell ref="E559:F559"/>
    <mergeCell ref="C561:C562"/>
    <mergeCell ref="C575:C578"/>
    <mergeCell ref="E583:F583"/>
    <mergeCell ref="E584:F584"/>
    <mergeCell ref="C505:C506"/>
    <mergeCell ref="C519:C522"/>
    <mergeCell ref="E527:F527"/>
    <mergeCell ref="E528:F528"/>
    <mergeCell ref="A530:F530"/>
    <mergeCell ref="A531:D531"/>
    <mergeCell ref="E531:F531"/>
    <mergeCell ref="C533:C534"/>
    <mergeCell ref="C547:C550"/>
    <mergeCell ref="A474:F474"/>
    <mergeCell ref="A475:D475"/>
    <mergeCell ref="E475:F475"/>
    <mergeCell ref="C477:C478"/>
    <mergeCell ref="C491:C494"/>
    <mergeCell ref="E499:F499"/>
    <mergeCell ref="E500:F500"/>
    <mergeCell ref="A502:F502"/>
    <mergeCell ref="A503:D503"/>
    <mergeCell ref="E503:F503"/>
    <mergeCell ref="E443:F443"/>
    <mergeCell ref="E444:F444"/>
    <mergeCell ref="A446:F446"/>
    <mergeCell ref="A447:D447"/>
    <mergeCell ref="E447:F447"/>
    <mergeCell ref="C449:C450"/>
    <mergeCell ref="C463:C466"/>
    <mergeCell ref="E471:F471"/>
    <mergeCell ref="E472:F472"/>
    <mergeCell ref="C393:C394"/>
    <mergeCell ref="C407:C410"/>
    <mergeCell ref="E415:F415"/>
    <mergeCell ref="E416:F416"/>
    <mergeCell ref="A418:F418"/>
    <mergeCell ref="A419:D419"/>
    <mergeCell ref="E419:F419"/>
    <mergeCell ref="C421:C422"/>
    <mergeCell ref="C435:C438"/>
    <mergeCell ref="A362:F362"/>
    <mergeCell ref="A363:D363"/>
    <mergeCell ref="E363:F363"/>
    <mergeCell ref="C365:C366"/>
    <mergeCell ref="C379:C382"/>
    <mergeCell ref="E387:F387"/>
    <mergeCell ref="E388:F388"/>
    <mergeCell ref="A390:F390"/>
    <mergeCell ref="A391:D391"/>
    <mergeCell ref="E391:F391"/>
    <mergeCell ref="E331:F331"/>
    <mergeCell ref="E332:F332"/>
    <mergeCell ref="A334:F334"/>
    <mergeCell ref="A335:D335"/>
    <mergeCell ref="E335:F335"/>
    <mergeCell ref="C337:C338"/>
    <mergeCell ref="C351:C354"/>
    <mergeCell ref="E359:F359"/>
    <mergeCell ref="E360:F360"/>
    <mergeCell ref="C281:C282"/>
    <mergeCell ref="C295:C298"/>
    <mergeCell ref="E303:F303"/>
    <mergeCell ref="E304:F304"/>
    <mergeCell ref="A306:F306"/>
    <mergeCell ref="A307:D307"/>
    <mergeCell ref="E307:F307"/>
    <mergeCell ref="C309:C310"/>
    <mergeCell ref="C323:C326"/>
    <mergeCell ref="A250:F250"/>
    <mergeCell ref="A251:D251"/>
    <mergeCell ref="E251:F251"/>
    <mergeCell ref="C253:C254"/>
    <mergeCell ref="C267:C270"/>
    <mergeCell ref="E275:F275"/>
    <mergeCell ref="E276:F276"/>
    <mergeCell ref="A278:F278"/>
    <mergeCell ref="A279:D279"/>
    <mergeCell ref="E279:F279"/>
    <mergeCell ref="E219:F219"/>
    <mergeCell ref="E220:F220"/>
    <mergeCell ref="A222:F222"/>
    <mergeCell ref="A223:D223"/>
    <mergeCell ref="E223:F223"/>
    <mergeCell ref="C225:C226"/>
    <mergeCell ref="C239:C242"/>
    <mergeCell ref="E247:F247"/>
    <mergeCell ref="E248:F248"/>
    <mergeCell ref="C169:C170"/>
    <mergeCell ref="C183:C186"/>
    <mergeCell ref="E191:F191"/>
    <mergeCell ref="E192:F192"/>
    <mergeCell ref="A194:F194"/>
    <mergeCell ref="A195:D195"/>
    <mergeCell ref="E195:F195"/>
    <mergeCell ref="C197:C198"/>
    <mergeCell ref="C211:C214"/>
    <mergeCell ref="A138:F138"/>
    <mergeCell ref="A139:D139"/>
    <mergeCell ref="E139:F139"/>
    <mergeCell ref="C141:C142"/>
    <mergeCell ref="C155:C158"/>
    <mergeCell ref="E163:F163"/>
    <mergeCell ref="E164:F164"/>
    <mergeCell ref="A166:F166"/>
    <mergeCell ref="A167:D167"/>
    <mergeCell ref="E167:F167"/>
    <mergeCell ref="E83:F83"/>
    <mergeCell ref="E84:F84"/>
    <mergeCell ref="A86:F86"/>
    <mergeCell ref="A87:D87"/>
    <mergeCell ref="E87:F87"/>
    <mergeCell ref="C89:C90"/>
    <mergeCell ref="C103:C106"/>
    <mergeCell ref="E111:F111"/>
    <mergeCell ref="E112:F112"/>
    <mergeCell ref="C33:C34"/>
    <mergeCell ref="C47:C50"/>
    <mergeCell ref="E55:F55"/>
    <mergeCell ref="E56:F56"/>
    <mergeCell ref="A58:F58"/>
    <mergeCell ref="A59:D59"/>
    <mergeCell ref="E59:F59"/>
    <mergeCell ref="C61:C62"/>
    <mergeCell ref="C75:C78"/>
    <mergeCell ref="A2:F2"/>
    <mergeCell ref="A3:D3"/>
    <mergeCell ref="E3:F3"/>
    <mergeCell ref="C5:C6"/>
    <mergeCell ref="C19:C22"/>
    <mergeCell ref="E27:F27"/>
    <mergeCell ref="E28:F28"/>
    <mergeCell ref="A30:F30"/>
    <mergeCell ref="A31:D31"/>
    <mergeCell ref="E31:F31"/>
  </mergeCells>
  <pageMargins left="0.70099999999999985" right="0.70099999999999985" top="0.75200000000000011" bottom="0.75200000000000011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9"/>
  <sheetViews>
    <sheetView zoomScale="85" workbookViewId="0">
      <pane ySplit="2" topLeftCell="A3" activePane="bottomLeft" state="frozen"/>
      <selection pane="bottomLeft"/>
    </sheetView>
  </sheetViews>
  <sheetFormatPr defaultColWidth="11.5546875" defaultRowHeight="15"/>
  <cols>
    <col min="1" max="28" width="2.77734375" customWidth="1"/>
    <col min="29" max="29" width="6.33203125" customWidth="1"/>
    <col min="30" max="30" width="10.6640625" customWidth="1"/>
    <col min="31" max="32" width="8.109375" customWidth="1"/>
  </cols>
  <sheetData>
    <row r="1" spans="1:32" ht="27.75">
      <c r="A1" s="1276" t="s">
        <v>9</v>
      </c>
      <c r="B1" s="1276"/>
      <c r="C1" s="1276"/>
      <c r="D1" s="1276"/>
      <c r="E1" s="1276"/>
      <c r="F1" s="1276"/>
      <c r="G1" s="1276"/>
      <c r="H1" s="1276"/>
      <c r="I1" s="1276"/>
      <c r="J1" s="1276"/>
      <c r="K1" s="1276"/>
      <c r="L1" s="1276"/>
      <c r="M1" s="1276"/>
      <c r="N1" s="1276"/>
      <c r="O1" s="1276"/>
      <c r="P1" s="1276"/>
      <c r="Q1" s="1276"/>
      <c r="R1" s="1276"/>
      <c r="S1" s="1276"/>
      <c r="T1" s="1276"/>
      <c r="U1" s="1276"/>
      <c r="V1" s="1276"/>
      <c r="W1" s="1276"/>
      <c r="X1" s="1276"/>
      <c r="Y1" s="1276"/>
      <c r="Z1" s="1276"/>
      <c r="AA1" s="1276"/>
      <c r="AB1" s="1276"/>
      <c r="AC1" s="29"/>
    </row>
    <row r="2" spans="1:32" ht="27.75">
      <c r="A2" s="1277" t="s">
        <v>30</v>
      </c>
      <c r="B2" s="1277"/>
      <c r="C2" s="1277"/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31"/>
      <c r="AD2" s="32"/>
      <c r="AE2" s="32"/>
      <c r="AF2" s="32"/>
    </row>
    <row r="3" spans="1:32" ht="15.75">
      <c r="A3" s="33">
        <v>9</v>
      </c>
      <c r="B3" s="34">
        <v>9</v>
      </c>
      <c r="C3" s="34">
        <v>9</v>
      </c>
      <c r="D3" s="34">
        <v>9</v>
      </c>
      <c r="E3" s="34">
        <v>9</v>
      </c>
      <c r="F3" s="34">
        <v>9</v>
      </c>
      <c r="G3" s="35">
        <v>9</v>
      </c>
      <c r="H3" s="36">
        <v>10</v>
      </c>
      <c r="I3" s="37">
        <v>10</v>
      </c>
      <c r="J3" s="37">
        <v>10</v>
      </c>
      <c r="K3" s="37">
        <v>10</v>
      </c>
      <c r="L3" s="37">
        <v>10</v>
      </c>
      <c r="M3" s="37">
        <v>10</v>
      </c>
      <c r="N3" s="38"/>
      <c r="O3" s="39">
        <v>11</v>
      </c>
      <c r="P3" s="40">
        <v>11</v>
      </c>
      <c r="Q3" s="40">
        <v>11</v>
      </c>
      <c r="R3" s="40">
        <v>11</v>
      </c>
      <c r="S3" s="41">
        <v>11</v>
      </c>
      <c r="T3" s="42">
        <v>12</v>
      </c>
      <c r="U3" s="43">
        <v>12</v>
      </c>
      <c r="V3" s="43">
        <v>12</v>
      </c>
      <c r="W3" s="43">
        <v>12</v>
      </c>
      <c r="X3" s="43">
        <v>12</v>
      </c>
      <c r="Y3" s="43">
        <v>12</v>
      </c>
      <c r="Z3" s="43">
        <v>12</v>
      </c>
      <c r="AA3" s="43">
        <v>12</v>
      </c>
      <c r="AB3" s="43">
        <v>12</v>
      </c>
      <c r="AC3" s="44" t="s">
        <v>31</v>
      </c>
      <c r="AD3" s="45"/>
      <c r="AE3" s="1278" t="s">
        <v>0</v>
      </c>
      <c r="AF3" s="1279"/>
    </row>
    <row r="4" spans="1:32" ht="15.75">
      <c r="A4" s="46">
        <v>2</v>
      </c>
      <c r="B4" s="47">
        <v>8</v>
      </c>
      <c r="C4" s="48">
        <v>12</v>
      </c>
      <c r="D4" s="48">
        <v>18</v>
      </c>
      <c r="E4" s="48">
        <v>19</v>
      </c>
      <c r="F4" s="48">
        <v>23</v>
      </c>
      <c r="G4" s="49">
        <v>26</v>
      </c>
      <c r="H4" s="50">
        <v>8</v>
      </c>
      <c r="I4" s="51">
        <v>15</v>
      </c>
      <c r="J4" s="51">
        <v>15</v>
      </c>
      <c r="K4" s="52">
        <v>16</v>
      </c>
      <c r="L4" s="52">
        <v>24</v>
      </c>
      <c r="M4" s="52">
        <v>28</v>
      </c>
      <c r="N4" s="53"/>
      <c r="O4" s="54">
        <v>5</v>
      </c>
      <c r="P4" s="55">
        <v>5</v>
      </c>
      <c r="Q4" s="55">
        <v>7</v>
      </c>
      <c r="R4" s="55">
        <v>20</v>
      </c>
      <c r="S4" s="56">
        <v>24</v>
      </c>
      <c r="T4" s="57">
        <v>1</v>
      </c>
      <c r="U4" s="58">
        <v>2</v>
      </c>
      <c r="V4" s="58">
        <v>4</v>
      </c>
      <c r="W4" s="58">
        <v>11</v>
      </c>
      <c r="X4" s="58">
        <v>13</v>
      </c>
      <c r="Y4" s="58">
        <v>15</v>
      </c>
      <c r="Z4" s="58">
        <v>18</v>
      </c>
      <c r="AA4" s="58">
        <v>19</v>
      </c>
      <c r="AB4" s="58">
        <v>19</v>
      </c>
      <c r="AC4" s="59" t="s">
        <v>32</v>
      </c>
      <c r="AD4" s="45" t="s">
        <v>33</v>
      </c>
      <c r="AE4" s="60" t="s">
        <v>5</v>
      </c>
      <c r="AF4" s="60" t="s">
        <v>6</v>
      </c>
    </row>
    <row r="5" spans="1:32" ht="16.5" customHeight="1">
      <c r="A5" s="61"/>
      <c r="B5" s="62"/>
      <c r="C5" s="63"/>
      <c r="D5" s="63"/>
      <c r="E5" s="64">
        <v>5</v>
      </c>
      <c r="F5" s="65" t="s">
        <v>34</v>
      </c>
      <c r="G5" s="66"/>
      <c r="H5" s="67" t="s">
        <v>34</v>
      </c>
      <c r="I5" s="68">
        <v>4</v>
      </c>
      <c r="J5" s="68"/>
      <c r="K5" s="69" t="s">
        <v>34</v>
      </c>
      <c r="L5" s="67" t="s">
        <v>34</v>
      </c>
      <c r="M5" s="70"/>
      <c r="N5" s="71"/>
      <c r="O5" s="67" t="s">
        <v>34</v>
      </c>
      <c r="P5" s="67" t="s">
        <v>34</v>
      </c>
      <c r="Q5" s="72">
        <v>4</v>
      </c>
      <c r="R5" s="73"/>
      <c r="S5" s="71">
        <v>4</v>
      </c>
      <c r="T5" s="74"/>
      <c r="U5" s="70"/>
      <c r="V5" s="73"/>
      <c r="W5" s="73">
        <v>3</v>
      </c>
      <c r="X5" s="70"/>
      <c r="Y5" s="67" t="s">
        <v>34</v>
      </c>
      <c r="Z5" s="70"/>
      <c r="AA5" s="70"/>
      <c r="AB5" s="70"/>
      <c r="AC5" s="75">
        <v>3</v>
      </c>
      <c r="AD5" s="76">
        <f t="shared" ref="AD5:AD9" si="0">IFERROR(AVERAGE(A5:AC5),"Нет оценок")</f>
        <v>3.8333333333333335</v>
      </c>
      <c r="AE5" s="77">
        <f t="shared" ref="AE5:AE9" si="1">COUNTIF(A5:AB5,"н/у")</f>
        <v>0</v>
      </c>
      <c r="AF5" s="77">
        <f t="shared" ref="AF5:AF9" si="2">COUNTIF(A5:AC5,"н")</f>
        <v>0</v>
      </c>
    </row>
    <row r="6" spans="1:32" ht="16.5" customHeight="1">
      <c r="A6" s="78"/>
      <c r="B6" s="69" t="s">
        <v>34</v>
      </c>
      <c r="C6" s="63"/>
      <c r="D6" s="63"/>
      <c r="E6" s="64">
        <v>5</v>
      </c>
      <c r="F6" s="63"/>
      <c r="G6" s="66"/>
      <c r="H6" s="79"/>
      <c r="I6" s="72" t="s">
        <v>35</v>
      </c>
      <c r="J6" s="72" t="s">
        <v>35</v>
      </c>
      <c r="K6" s="80" t="s">
        <v>36</v>
      </c>
      <c r="L6" s="81">
        <v>2</v>
      </c>
      <c r="M6" s="82"/>
      <c r="N6" s="83"/>
      <c r="O6" s="69" t="s">
        <v>34</v>
      </c>
      <c r="P6" s="69" t="s">
        <v>34</v>
      </c>
      <c r="Q6" s="84">
        <v>4</v>
      </c>
      <c r="R6" s="65" t="s">
        <v>34</v>
      </c>
      <c r="S6" s="85">
        <v>4</v>
      </c>
      <c r="T6" s="80"/>
      <c r="U6" s="84"/>
      <c r="V6" s="65" t="s">
        <v>34</v>
      </c>
      <c r="W6" s="65" t="s">
        <v>34</v>
      </c>
      <c r="X6" s="80"/>
      <c r="Y6" s="82">
        <v>4</v>
      </c>
      <c r="Z6" s="82"/>
      <c r="AA6" s="82"/>
      <c r="AB6" s="82"/>
      <c r="AC6" s="86">
        <v>3</v>
      </c>
      <c r="AD6" s="76">
        <f t="shared" si="0"/>
        <v>3.6666666666666665</v>
      </c>
      <c r="AE6" s="77">
        <f t="shared" si="1"/>
        <v>0</v>
      </c>
      <c r="AF6" s="77">
        <f t="shared" si="2"/>
        <v>0</v>
      </c>
    </row>
    <row r="7" spans="1:32" ht="16.5" customHeight="1">
      <c r="A7" s="87"/>
      <c r="B7" s="65" t="s">
        <v>34</v>
      </c>
      <c r="C7" s="63"/>
      <c r="D7" s="63"/>
      <c r="E7" s="64">
        <v>4</v>
      </c>
      <c r="F7" s="63"/>
      <c r="G7" s="66"/>
      <c r="H7" s="88"/>
      <c r="I7" s="89">
        <v>5</v>
      </c>
      <c r="J7" s="89"/>
      <c r="K7" s="74"/>
      <c r="L7" s="70">
        <v>5</v>
      </c>
      <c r="M7" s="70"/>
      <c r="N7" s="71" t="s">
        <v>37</v>
      </c>
      <c r="O7" s="74"/>
      <c r="P7" s="70"/>
      <c r="Q7" s="70">
        <v>4</v>
      </c>
      <c r="S7" s="71">
        <v>4</v>
      </c>
      <c r="T7" s="74"/>
      <c r="U7" s="62"/>
      <c r="V7" s="65" t="s">
        <v>34</v>
      </c>
      <c r="W7" s="90">
        <v>4</v>
      </c>
      <c r="X7" s="70"/>
      <c r="Y7" s="91">
        <v>2</v>
      </c>
      <c r="Z7" s="70"/>
      <c r="AA7" s="70"/>
      <c r="AB7" s="70"/>
      <c r="AC7" s="75">
        <v>3</v>
      </c>
      <c r="AD7" s="76">
        <f t="shared" si="0"/>
        <v>3.875</v>
      </c>
      <c r="AE7" s="77">
        <f t="shared" si="1"/>
        <v>0</v>
      </c>
      <c r="AF7" s="77">
        <f t="shared" si="2"/>
        <v>0</v>
      </c>
    </row>
    <row r="8" spans="1:32" ht="16.5" customHeight="1">
      <c r="A8" s="61"/>
      <c r="B8" s="72" t="s">
        <v>34</v>
      </c>
      <c r="C8" s="72" t="s">
        <v>34</v>
      </c>
      <c r="D8" s="72" t="s">
        <v>34</v>
      </c>
      <c r="E8" s="72" t="s">
        <v>34</v>
      </c>
      <c r="F8" s="63"/>
      <c r="G8" s="66"/>
      <c r="H8" s="88"/>
      <c r="I8" s="67" t="s">
        <v>34</v>
      </c>
      <c r="J8" s="67" t="s">
        <v>34</v>
      </c>
      <c r="K8" s="67" t="s">
        <v>34</v>
      </c>
      <c r="L8" s="92">
        <v>2</v>
      </c>
      <c r="M8" s="70"/>
      <c r="N8" s="71"/>
      <c r="O8" s="67" t="s">
        <v>34</v>
      </c>
      <c r="P8" s="67" t="s">
        <v>34</v>
      </c>
      <c r="Q8" s="67" t="s">
        <v>34</v>
      </c>
      <c r="R8" s="70"/>
      <c r="S8" s="71">
        <v>4</v>
      </c>
      <c r="T8" s="72" t="s">
        <v>36</v>
      </c>
      <c r="U8" s="70"/>
      <c r="V8" s="93"/>
      <c r="W8" s="65" t="s">
        <v>34</v>
      </c>
      <c r="X8" s="74"/>
      <c r="Y8" s="70">
        <v>5</v>
      </c>
      <c r="Z8" s="70"/>
      <c r="AA8" s="67" t="s">
        <v>34</v>
      </c>
      <c r="AB8" s="67" t="s">
        <v>34</v>
      </c>
      <c r="AC8" s="75">
        <v>4</v>
      </c>
      <c r="AD8" s="76">
        <f t="shared" si="0"/>
        <v>3.75</v>
      </c>
      <c r="AE8" s="77">
        <f t="shared" si="1"/>
        <v>0</v>
      </c>
      <c r="AF8" s="77">
        <f t="shared" si="2"/>
        <v>0</v>
      </c>
    </row>
    <row r="9" spans="1:32" ht="16.5" customHeight="1">
      <c r="A9" s="78"/>
      <c r="B9" s="84"/>
      <c r="C9" s="63" t="s">
        <v>36</v>
      </c>
      <c r="D9" s="63"/>
      <c r="E9" s="64">
        <v>5</v>
      </c>
      <c r="F9" s="69" t="s">
        <v>34</v>
      </c>
      <c r="G9" s="66"/>
      <c r="H9" s="88"/>
      <c r="I9" s="69" t="s">
        <v>34</v>
      </c>
      <c r="J9" s="69" t="s">
        <v>34</v>
      </c>
      <c r="K9" s="72" t="s">
        <v>34</v>
      </c>
      <c r="L9" s="69" t="s">
        <v>34</v>
      </c>
      <c r="M9" s="82"/>
      <c r="N9" s="83" t="s">
        <v>37</v>
      </c>
      <c r="O9" s="72" t="s">
        <v>34</v>
      </c>
      <c r="P9" s="72" t="s">
        <v>34</v>
      </c>
      <c r="Q9" s="82">
        <v>4</v>
      </c>
      <c r="R9" s="82"/>
      <c r="S9" s="83">
        <v>5</v>
      </c>
      <c r="T9" s="80"/>
      <c r="U9" s="82"/>
      <c r="V9" s="84"/>
      <c r="W9" s="65" t="s">
        <v>34</v>
      </c>
      <c r="X9" s="80"/>
      <c r="Y9" s="82">
        <v>4</v>
      </c>
      <c r="Z9" s="82"/>
      <c r="AA9" s="82"/>
      <c r="AB9" s="82"/>
      <c r="AC9" s="94">
        <v>3</v>
      </c>
      <c r="AD9" s="76">
        <f t="shared" si="0"/>
        <v>4.2</v>
      </c>
      <c r="AE9" s="77">
        <f t="shared" si="1"/>
        <v>0</v>
      </c>
      <c r="AF9" s="77">
        <f t="shared" si="2"/>
        <v>0</v>
      </c>
    </row>
    <row r="10" spans="1:32" ht="16.5" customHeight="1">
      <c r="A10" s="61"/>
      <c r="B10" s="62">
        <v>4</v>
      </c>
      <c r="C10" s="63"/>
      <c r="D10" s="63"/>
      <c r="E10" s="64">
        <v>5</v>
      </c>
      <c r="F10" s="63"/>
      <c r="G10" s="66"/>
      <c r="H10" s="88"/>
      <c r="I10" s="63">
        <v>5</v>
      </c>
      <c r="J10" s="63"/>
      <c r="K10" s="74"/>
      <c r="L10" s="70">
        <v>5</v>
      </c>
      <c r="M10" s="70"/>
      <c r="N10" s="71"/>
      <c r="O10" s="95"/>
      <c r="P10" s="70"/>
      <c r="Q10" s="70">
        <v>3</v>
      </c>
      <c r="R10" s="70"/>
      <c r="S10" s="71">
        <v>4</v>
      </c>
      <c r="T10" s="74"/>
      <c r="U10" s="70"/>
      <c r="V10" s="70"/>
      <c r="W10" s="96">
        <v>4</v>
      </c>
      <c r="X10" s="70"/>
      <c r="Y10" s="70">
        <v>5</v>
      </c>
      <c r="Z10" s="70"/>
      <c r="AA10" s="70"/>
      <c r="AB10" s="70"/>
      <c r="AC10" s="97">
        <v>4</v>
      </c>
      <c r="AD10" s="76">
        <f t="shared" ref="AD10:AD28" si="3">IFERROR(AVERAGE(A10:AC10),"Нет оценок")</f>
        <v>4.333333333333333</v>
      </c>
      <c r="AE10" s="77">
        <f t="shared" ref="AE10:AE28" si="4">COUNTIF(A10:AB10,"н/у")</f>
        <v>0</v>
      </c>
      <c r="AF10" s="77">
        <f t="shared" ref="AF10:AF28" si="5">COUNTIF(A10:AC10,"н")</f>
        <v>0</v>
      </c>
    </row>
    <row r="11" spans="1:32" ht="16.5" customHeight="1">
      <c r="A11" s="61"/>
      <c r="B11" s="98">
        <v>5</v>
      </c>
      <c r="C11" s="65" t="s">
        <v>34</v>
      </c>
      <c r="D11" s="63"/>
      <c r="E11" s="64">
        <v>5</v>
      </c>
      <c r="F11" s="63"/>
      <c r="G11" s="72" t="s">
        <v>35</v>
      </c>
      <c r="H11" s="88"/>
      <c r="I11" s="63">
        <v>5</v>
      </c>
      <c r="J11" s="63"/>
      <c r="K11" s="74"/>
      <c r="L11" s="70">
        <v>3</v>
      </c>
      <c r="M11" s="70"/>
      <c r="N11" s="62"/>
      <c r="O11" s="65" t="s">
        <v>34</v>
      </c>
      <c r="P11" s="74"/>
      <c r="Q11" s="70">
        <v>4</v>
      </c>
      <c r="R11" s="72" t="s">
        <v>35</v>
      </c>
      <c r="S11" s="71">
        <v>5</v>
      </c>
      <c r="T11" s="74"/>
      <c r="U11" s="70"/>
      <c r="V11" s="70"/>
      <c r="W11" s="70">
        <v>5</v>
      </c>
      <c r="X11" s="70"/>
      <c r="Y11" s="70">
        <v>5</v>
      </c>
      <c r="Z11" s="70">
        <v>4</v>
      </c>
      <c r="AA11" s="70"/>
      <c r="AB11" s="70"/>
      <c r="AC11" s="97">
        <v>4</v>
      </c>
      <c r="AD11" s="76">
        <f t="shared" si="3"/>
        <v>4.5</v>
      </c>
      <c r="AE11" s="77">
        <f t="shared" si="4"/>
        <v>0</v>
      </c>
      <c r="AF11" s="77">
        <f t="shared" si="5"/>
        <v>0</v>
      </c>
    </row>
    <row r="12" spans="1:32" ht="16.5" customHeight="1">
      <c r="A12" s="99" t="s">
        <v>34</v>
      </c>
      <c r="B12" s="65" t="s">
        <v>34</v>
      </c>
      <c r="C12" s="69" t="s">
        <v>34</v>
      </c>
      <c r="D12" s="69" t="s">
        <v>34</v>
      </c>
      <c r="E12" s="65" t="s">
        <v>34</v>
      </c>
      <c r="F12" s="69" t="s">
        <v>34</v>
      </c>
      <c r="G12" s="66"/>
      <c r="H12" s="88"/>
      <c r="I12" s="100">
        <v>2</v>
      </c>
      <c r="J12" s="63"/>
      <c r="K12" s="101"/>
      <c r="L12" s="102">
        <v>2</v>
      </c>
      <c r="M12" s="103"/>
      <c r="N12" s="104"/>
      <c r="O12" s="105"/>
      <c r="P12" s="103"/>
      <c r="Q12" s="103">
        <v>4</v>
      </c>
      <c r="R12" s="103"/>
      <c r="S12" s="104">
        <v>3</v>
      </c>
      <c r="T12" s="101"/>
      <c r="U12" s="103"/>
      <c r="V12" s="106"/>
      <c r="W12" s="106">
        <v>4</v>
      </c>
      <c r="X12" s="106"/>
      <c r="Y12" s="106">
        <v>3</v>
      </c>
      <c r="Z12" s="106"/>
      <c r="AA12" s="106"/>
      <c r="AB12" s="106"/>
      <c r="AC12" s="107">
        <v>3</v>
      </c>
      <c r="AD12" s="76">
        <f t="shared" si="3"/>
        <v>3</v>
      </c>
      <c r="AE12" s="77">
        <f t="shared" si="4"/>
        <v>0</v>
      </c>
      <c r="AF12" s="77">
        <f t="shared" si="5"/>
        <v>0</v>
      </c>
    </row>
    <row r="13" spans="1:32" ht="16.5" customHeight="1">
      <c r="A13" s="78"/>
      <c r="B13" s="93" t="s">
        <v>36</v>
      </c>
      <c r="C13" s="63"/>
      <c r="D13" s="63"/>
      <c r="E13" s="64">
        <v>3</v>
      </c>
      <c r="F13" s="65" t="s">
        <v>34</v>
      </c>
      <c r="G13" s="66"/>
      <c r="H13" s="88"/>
      <c r="I13" s="69" t="s">
        <v>34</v>
      </c>
      <c r="J13" s="65" t="s">
        <v>34</v>
      </c>
      <c r="K13" s="69" t="s">
        <v>34</v>
      </c>
      <c r="L13" s="69" t="s">
        <v>34</v>
      </c>
      <c r="M13" s="82"/>
      <c r="N13" s="83"/>
      <c r="O13" s="69" t="s">
        <v>34</v>
      </c>
      <c r="P13" s="82"/>
      <c r="Q13" s="69" t="s">
        <v>34</v>
      </c>
      <c r="R13" s="82"/>
      <c r="S13" s="72">
        <v>3</v>
      </c>
      <c r="T13" s="80"/>
      <c r="U13" s="82"/>
      <c r="V13" s="96"/>
      <c r="W13" s="72">
        <v>3</v>
      </c>
      <c r="X13" s="69" t="s">
        <v>34</v>
      </c>
      <c r="Y13" s="72">
        <v>3</v>
      </c>
      <c r="Z13" s="89"/>
      <c r="AA13" s="89"/>
      <c r="AB13" s="108"/>
      <c r="AC13" s="94">
        <v>4</v>
      </c>
      <c r="AD13" s="76">
        <f t="shared" si="3"/>
        <v>3.2</v>
      </c>
      <c r="AE13" s="77">
        <f t="shared" si="4"/>
        <v>0</v>
      </c>
      <c r="AF13" s="77">
        <f t="shared" si="5"/>
        <v>0</v>
      </c>
    </row>
    <row r="14" spans="1:32" ht="16.5" customHeight="1">
      <c r="A14" s="61"/>
      <c r="B14" s="98">
        <v>5</v>
      </c>
      <c r="C14" s="63"/>
      <c r="D14" s="63"/>
      <c r="E14" s="64">
        <v>5</v>
      </c>
      <c r="F14" s="63"/>
      <c r="G14" s="66"/>
      <c r="H14" s="88"/>
      <c r="I14" s="69" t="s">
        <v>34</v>
      </c>
      <c r="J14" s="65" t="s">
        <v>34</v>
      </c>
      <c r="K14" s="65" t="s">
        <v>34</v>
      </c>
      <c r="L14" s="65" t="s">
        <v>34</v>
      </c>
      <c r="M14" s="95"/>
      <c r="N14" s="109" t="s">
        <v>37</v>
      </c>
      <c r="O14" s="95"/>
      <c r="P14" s="73"/>
      <c r="Q14" s="73">
        <v>5</v>
      </c>
      <c r="R14" s="73"/>
      <c r="S14" s="109">
        <v>4</v>
      </c>
      <c r="T14" s="74"/>
      <c r="U14" s="70"/>
      <c r="V14" s="70"/>
      <c r="W14" s="70">
        <v>4</v>
      </c>
      <c r="X14" s="62"/>
      <c r="Y14" s="64">
        <v>4</v>
      </c>
      <c r="Z14" s="63"/>
      <c r="AA14" s="63"/>
      <c r="AB14" s="74"/>
      <c r="AC14" s="97">
        <v>5</v>
      </c>
      <c r="AD14" s="76">
        <f t="shared" si="3"/>
        <v>4.5714285714285712</v>
      </c>
      <c r="AE14" s="77">
        <f t="shared" si="4"/>
        <v>0</v>
      </c>
      <c r="AF14" s="77">
        <f t="shared" si="5"/>
        <v>0</v>
      </c>
    </row>
    <row r="15" spans="1:32" ht="16.5" customHeight="1">
      <c r="A15" s="87"/>
      <c r="B15" s="63"/>
      <c r="C15" s="63"/>
      <c r="D15" s="63"/>
      <c r="E15" s="64">
        <v>4</v>
      </c>
      <c r="F15" s="63"/>
      <c r="G15" s="66"/>
      <c r="H15" s="88"/>
      <c r="I15" s="65" t="s">
        <v>34</v>
      </c>
      <c r="J15" s="65" t="s">
        <v>34</v>
      </c>
      <c r="K15" s="63"/>
      <c r="L15" s="110" t="s">
        <v>34</v>
      </c>
      <c r="M15" s="63"/>
      <c r="N15" s="111" t="s">
        <v>37</v>
      </c>
      <c r="O15" s="65" t="s">
        <v>34</v>
      </c>
      <c r="P15" s="63"/>
      <c r="Q15" s="63">
        <v>4</v>
      </c>
      <c r="R15" s="68"/>
      <c r="S15" s="112">
        <v>5</v>
      </c>
      <c r="T15" s="74" t="s">
        <v>37</v>
      </c>
      <c r="U15" s="70"/>
      <c r="V15" s="70"/>
      <c r="W15" s="70">
        <v>3</v>
      </c>
      <c r="X15" s="70"/>
      <c r="Y15" s="96">
        <v>4</v>
      </c>
      <c r="Z15" s="96"/>
      <c r="AA15" s="96"/>
      <c r="AB15" s="70"/>
      <c r="AC15" s="97">
        <v>4</v>
      </c>
      <c r="AD15" s="76">
        <f t="shared" si="3"/>
        <v>4</v>
      </c>
      <c r="AE15" s="77">
        <f t="shared" si="4"/>
        <v>0</v>
      </c>
      <c r="AF15" s="77">
        <f t="shared" si="5"/>
        <v>0</v>
      </c>
    </row>
    <row r="16" spans="1:32" ht="16.5" customHeight="1">
      <c r="A16" s="87"/>
      <c r="B16" s="63"/>
      <c r="C16" s="63"/>
      <c r="D16" s="63"/>
      <c r="E16" s="64">
        <v>4</v>
      </c>
      <c r="F16" s="63"/>
      <c r="G16" s="66"/>
      <c r="H16" s="88"/>
      <c r="I16" s="65" t="s">
        <v>34</v>
      </c>
      <c r="J16" s="69" t="s">
        <v>34</v>
      </c>
      <c r="K16" s="63"/>
      <c r="L16" s="100">
        <v>2</v>
      </c>
      <c r="M16" s="63"/>
      <c r="N16" s="66"/>
      <c r="O16" s="88"/>
      <c r="P16" s="63"/>
      <c r="Q16" s="65" t="s">
        <v>34</v>
      </c>
      <c r="R16" s="72" t="s">
        <v>35</v>
      </c>
      <c r="S16" s="72" t="s">
        <v>35</v>
      </c>
      <c r="T16" s="74"/>
      <c r="U16" s="73"/>
      <c r="V16" s="70"/>
      <c r="W16" s="73">
        <v>4</v>
      </c>
      <c r="X16" s="73"/>
      <c r="Y16" s="70">
        <v>5</v>
      </c>
      <c r="Z16" s="70"/>
      <c r="AA16" s="70"/>
      <c r="AB16" s="70"/>
      <c r="AC16" s="97">
        <v>3</v>
      </c>
      <c r="AD16" s="76">
        <f t="shared" si="3"/>
        <v>3.6</v>
      </c>
      <c r="AE16" s="77">
        <f t="shared" si="4"/>
        <v>0</v>
      </c>
      <c r="AF16" s="77">
        <f t="shared" si="5"/>
        <v>0</v>
      </c>
    </row>
    <row r="17" spans="1:32" ht="16.5" customHeight="1">
      <c r="A17" s="113"/>
      <c r="B17" s="63" t="s">
        <v>36</v>
      </c>
      <c r="C17" s="69" t="s">
        <v>34</v>
      </c>
      <c r="D17" s="63"/>
      <c r="E17" s="64">
        <v>5</v>
      </c>
      <c r="F17" s="63"/>
      <c r="G17" s="65" t="s">
        <v>34</v>
      </c>
      <c r="H17" s="69" t="s">
        <v>34</v>
      </c>
      <c r="I17" s="63">
        <v>4</v>
      </c>
      <c r="J17" s="63"/>
      <c r="K17" s="63" t="s">
        <v>36</v>
      </c>
      <c r="L17" s="100">
        <v>2</v>
      </c>
      <c r="M17" s="69" t="s">
        <v>34</v>
      </c>
      <c r="N17" s="111"/>
      <c r="O17" s="65" t="s">
        <v>34</v>
      </c>
      <c r="P17" s="69" t="s">
        <v>34</v>
      </c>
      <c r="Q17" s="65" t="s">
        <v>34</v>
      </c>
      <c r="R17" s="65" t="s">
        <v>34</v>
      </c>
      <c r="S17" s="114">
        <v>4</v>
      </c>
      <c r="T17" s="72" t="s">
        <v>36</v>
      </c>
      <c r="U17" s="65" t="s">
        <v>34</v>
      </c>
      <c r="V17" s="115"/>
      <c r="W17" s="65" t="s">
        <v>34</v>
      </c>
      <c r="X17" s="65" t="s">
        <v>34</v>
      </c>
      <c r="Y17" s="72">
        <v>3</v>
      </c>
      <c r="Z17" s="69" t="s">
        <v>34</v>
      </c>
      <c r="AA17" s="103"/>
      <c r="AB17" s="103"/>
      <c r="AC17" s="107">
        <v>3</v>
      </c>
      <c r="AD17" s="76">
        <f t="shared" si="3"/>
        <v>3.5</v>
      </c>
      <c r="AE17" s="77">
        <f t="shared" si="4"/>
        <v>0</v>
      </c>
      <c r="AF17" s="77">
        <f t="shared" si="5"/>
        <v>0</v>
      </c>
    </row>
    <row r="18" spans="1:32" ht="16.5" customHeight="1">
      <c r="A18" s="116"/>
      <c r="B18" s="63"/>
      <c r="C18" s="63"/>
      <c r="D18" s="63"/>
      <c r="E18" s="64">
        <v>5</v>
      </c>
      <c r="F18" s="63"/>
      <c r="G18" s="66"/>
      <c r="H18" s="88"/>
      <c r="I18" s="63">
        <v>5</v>
      </c>
      <c r="J18" s="63"/>
      <c r="K18" s="63"/>
      <c r="L18" s="65" t="s">
        <v>34</v>
      </c>
      <c r="M18" s="63"/>
      <c r="N18" s="66" t="s">
        <v>37</v>
      </c>
      <c r="O18" s="88"/>
      <c r="P18" s="63"/>
      <c r="Q18" s="63">
        <v>3</v>
      </c>
      <c r="R18" s="63"/>
      <c r="S18" s="66">
        <v>4</v>
      </c>
      <c r="T18" s="80"/>
      <c r="U18" s="96"/>
      <c r="V18" s="82"/>
      <c r="W18" s="72">
        <v>4</v>
      </c>
      <c r="X18" s="96"/>
      <c r="Y18" s="82">
        <v>5</v>
      </c>
      <c r="Z18" s="82"/>
      <c r="AA18" s="82"/>
      <c r="AB18" s="82"/>
      <c r="AC18" s="94">
        <v>4</v>
      </c>
      <c r="AD18" s="76">
        <f t="shared" si="3"/>
        <v>4.2857142857142856</v>
      </c>
      <c r="AE18" s="77">
        <f t="shared" si="4"/>
        <v>0</v>
      </c>
      <c r="AF18" s="77">
        <f t="shared" si="5"/>
        <v>0</v>
      </c>
    </row>
    <row r="19" spans="1:32" ht="16.5" customHeight="1">
      <c r="A19" s="87"/>
      <c r="B19" s="65" t="s">
        <v>34</v>
      </c>
      <c r="C19" s="63"/>
      <c r="D19" s="63"/>
      <c r="E19" s="64">
        <v>4</v>
      </c>
      <c r="F19" s="63"/>
      <c r="G19" s="117" t="s">
        <v>34</v>
      </c>
      <c r="H19" s="88"/>
      <c r="I19" s="63">
        <v>4</v>
      </c>
      <c r="J19" s="63"/>
      <c r="K19" s="65" t="s">
        <v>34</v>
      </c>
      <c r="L19" s="65" t="s">
        <v>34</v>
      </c>
      <c r="M19" s="63"/>
      <c r="N19" s="66"/>
      <c r="O19" s="88"/>
      <c r="P19" s="63"/>
      <c r="Q19" s="63">
        <v>4</v>
      </c>
      <c r="R19" s="63"/>
      <c r="S19" s="66">
        <v>4</v>
      </c>
      <c r="T19" s="74" t="s">
        <v>37</v>
      </c>
      <c r="U19" s="70"/>
      <c r="V19" s="62"/>
      <c r="W19" s="65" t="s">
        <v>34</v>
      </c>
      <c r="X19" s="74"/>
      <c r="Y19" s="70">
        <v>5</v>
      </c>
      <c r="Z19" s="70"/>
      <c r="AA19" s="70"/>
      <c r="AB19" s="70"/>
      <c r="AC19" s="97">
        <v>3</v>
      </c>
      <c r="AD19" s="76">
        <f t="shared" si="3"/>
        <v>4</v>
      </c>
      <c r="AE19" s="77">
        <f t="shared" si="4"/>
        <v>0</v>
      </c>
      <c r="AF19" s="77">
        <f t="shared" si="5"/>
        <v>0</v>
      </c>
    </row>
    <row r="20" spans="1:32" ht="16.5" customHeight="1">
      <c r="A20" s="87"/>
      <c r="B20" s="63"/>
      <c r="C20" s="69" t="s">
        <v>34</v>
      </c>
      <c r="D20" s="63"/>
      <c r="E20" s="64">
        <v>5</v>
      </c>
      <c r="F20" s="63"/>
      <c r="G20" s="66"/>
      <c r="H20" s="88"/>
      <c r="I20" s="63">
        <v>5</v>
      </c>
      <c r="J20" s="63"/>
      <c r="K20" s="63"/>
      <c r="L20" s="63">
        <v>4</v>
      </c>
      <c r="M20" s="63"/>
      <c r="N20" s="66"/>
      <c r="O20" s="88"/>
      <c r="P20" s="63"/>
      <c r="Q20" s="63">
        <v>5</v>
      </c>
      <c r="R20" s="63"/>
      <c r="S20" s="66">
        <v>5</v>
      </c>
      <c r="T20" s="74"/>
      <c r="U20" s="70"/>
      <c r="V20" s="70"/>
      <c r="W20" s="118">
        <v>5</v>
      </c>
      <c r="X20" s="70"/>
      <c r="Y20" s="70">
        <v>5</v>
      </c>
      <c r="Z20" s="70"/>
      <c r="AA20" s="70"/>
      <c r="AB20" s="70"/>
      <c r="AC20" s="97">
        <v>5</v>
      </c>
      <c r="AD20" s="76">
        <f t="shared" si="3"/>
        <v>4.875</v>
      </c>
      <c r="AE20" s="77">
        <f t="shared" si="4"/>
        <v>0</v>
      </c>
      <c r="AF20" s="77">
        <f t="shared" si="5"/>
        <v>0</v>
      </c>
    </row>
    <row r="21" spans="1:32" ht="16.5" customHeight="1">
      <c r="A21" s="87"/>
      <c r="B21" s="63"/>
      <c r="C21" s="63"/>
      <c r="D21" s="63"/>
      <c r="E21" s="64">
        <v>4</v>
      </c>
      <c r="F21" s="69" t="s">
        <v>34</v>
      </c>
      <c r="G21" s="66"/>
      <c r="H21" s="88"/>
      <c r="I21" s="63">
        <v>4</v>
      </c>
      <c r="J21" s="63"/>
      <c r="K21" s="63" t="s">
        <v>36</v>
      </c>
      <c r="L21" s="65" t="s">
        <v>34</v>
      </c>
      <c r="M21" s="63"/>
      <c r="N21" s="66"/>
      <c r="O21" s="88"/>
      <c r="P21" s="63"/>
      <c r="Q21" s="63">
        <v>4</v>
      </c>
      <c r="R21" s="63"/>
      <c r="S21" s="66">
        <v>4</v>
      </c>
      <c r="T21" s="74"/>
      <c r="U21" s="70"/>
      <c r="V21" s="62"/>
      <c r="W21" s="65" t="s">
        <v>34</v>
      </c>
      <c r="X21" s="72" t="s">
        <v>36</v>
      </c>
      <c r="Y21" s="70">
        <v>4</v>
      </c>
      <c r="Z21" s="70"/>
      <c r="AA21" s="72"/>
      <c r="AB21" s="70"/>
      <c r="AC21" s="97">
        <v>3</v>
      </c>
      <c r="AD21" s="76">
        <f t="shared" si="3"/>
        <v>3.8333333333333335</v>
      </c>
      <c r="AE21" s="77">
        <f t="shared" si="4"/>
        <v>0</v>
      </c>
      <c r="AF21" s="77">
        <f t="shared" si="5"/>
        <v>0</v>
      </c>
    </row>
    <row r="22" spans="1:32" ht="16.5" customHeight="1">
      <c r="A22" s="69"/>
      <c r="B22" s="63"/>
      <c r="C22" s="63"/>
      <c r="D22" s="63"/>
      <c r="E22" s="64">
        <v>5</v>
      </c>
      <c r="F22" s="63"/>
      <c r="G22" s="66"/>
      <c r="H22" s="88"/>
      <c r="I22" s="72">
        <v>3</v>
      </c>
      <c r="J22" s="69" t="s">
        <v>34</v>
      </c>
      <c r="K22" s="63"/>
      <c r="L22" s="63">
        <v>5</v>
      </c>
      <c r="M22" s="63"/>
      <c r="N22" s="66" t="s">
        <v>37</v>
      </c>
      <c r="O22" s="88"/>
      <c r="P22" s="63"/>
      <c r="Q22" s="63">
        <v>5</v>
      </c>
      <c r="R22" s="63"/>
      <c r="S22" s="66">
        <v>5</v>
      </c>
      <c r="T22" s="101"/>
      <c r="U22" s="103"/>
      <c r="V22" s="103"/>
      <c r="W22" s="119">
        <v>5</v>
      </c>
      <c r="X22" s="103"/>
      <c r="Y22" s="103">
        <v>5</v>
      </c>
      <c r="Z22" s="103"/>
      <c r="AA22" s="103"/>
      <c r="AB22" s="103"/>
      <c r="AC22" s="107">
        <v>5</v>
      </c>
      <c r="AD22" s="76">
        <f t="shared" si="3"/>
        <v>4.75</v>
      </c>
      <c r="AE22" s="77">
        <f t="shared" si="4"/>
        <v>0</v>
      </c>
      <c r="AF22" s="77">
        <f t="shared" si="5"/>
        <v>0</v>
      </c>
    </row>
    <row r="23" spans="1:32" ht="16.5" customHeight="1">
      <c r="A23" s="116"/>
      <c r="B23" s="63"/>
      <c r="C23" s="63" t="s">
        <v>36</v>
      </c>
      <c r="D23" s="63"/>
      <c r="E23" s="69" t="s">
        <v>34</v>
      </c>
      <c r="F23" s="72" t="s">
        <v>35</v>
      </c>
      <c r="G23" s="72" t="s">
        <v>35</v>
      </c>
      <c r="H23" s="88"/>
      <c r="I23" s="100">
        <v>2</v>
      </c>
      <c r="J23" s="69" t="s">
        <v>34</v>
      </c>
      <c r="K23" s="63" t="s">
        <v>36</v>
      </c>
      <c r="L23" s="67" t="s">
        <v>34</v>
      </c>
      <c r="M23" s="63"/>
      <c r="N23" s="66" t="s">
        <v>37</v>
      </c>
      <c r="O23" s="88"/>
      <c r="P23" s="63"/>
      <c r="Q23" s="64">
        <v>4</v>
      </c>
      <c r="R23" s="63"/>
      <c r="S23" s="66">
        <v>5</v>
      </c>
      <c r="T23" s="80"/>
      <c r="U23" s="82"/>
      <c r="V23" s="120"/>
      <c r="W23" s="67" t="s">
        <v>34</v>
      </c>
      <c r="X23" s="67" t="s">
        <v>34</v>
      </c>
      <c r="Y23" s="82">
        <v>5</v>
      </c>
      <c r="Z23" s="82"/>
      <c r="AA23" s="69" t="s">
        <v>34</v>
      </c>
      <c r="AB23" s="69" t="s">
        <v>34</v>
      </c>
      <c r="AC23" s="94">
        <v>4</v>
      </c>
      <c r="AD23" s="76">
        <f t="shared" si="3"/>
        <v>4</v>
      </c>
      <c r="AE23" s="77">
        <f t="shared" si="4"/>
        <v>0</v>
      </c>
      <c r="AF23" s="77">
        <f t="shared" si="5"/>
        <v>0</v>
      </c>
    </row>
    <row r="24" spans="1:32" ht="16.5" customHeight="1">
      <c r="A24" s="87"/>
      <c r="B24" s="63"/>
      <c r="C24" s="63"/>
      <c r="D24" s="63"/>
      <c r="E24" s="64">
        <v>5</v>
      </c>
      <c r="F24" s="63"/>
      <c r="G24" s="66"/>
      <c r="H24" s="88"/>
      <c r="I24" s="63">
        <v>5</v>
      </c>
      <c r="J24" s="63"/>
      <c r="K24" s="63"/>
      <c r="L24" s="63">
        <v>4</v>
      </c>
      <c r="M24" s="63"/>
      <c r="N24" s="66" t="s">
        <v>37</v>
      </c>
      <c r="O24" s="88"/>
      <c r="P24" s="63"/>
      <c r="Q24" s="63">
        <v>5</v>
      </c>
      <c r="R24" s="63"/>
      <c r="S24" s="66">
        <v>4</v>
      </c>
      <c r="T24" s="74"/>
      <c r="U24" s="98"/>
      <c r="V24" s="65" t="s">
        <v>34</v>
      </c>
      <c r="W24" s="72" t="s">
        <v>35</v>
      </c>
      <c r="X24" s="72" t="s">
        <v>35</v>
      </c>
      <c r="Y24" s="70">
        <v>5</v>
      </c>
      <c r="Z24" s="70"/>
      <c r="AA24" s="70"/>
      <c r="AB24" s="70"/>
      <c r="AC24" s="97">
        <v>5</v>
      </c>
      <c r="AD24" s="76">
        <f t="shared" si="3"/>
        <v>4.7142857142857144</v>
      </c>
      <c r="AE24" s="77">
        <f t="shared" si="4"/>
        <v>0</v>
      </c>
      <c r="AF24" s="77">
        <f t="shared" si="5"/>
        <v>0</v>
      </c>
    </row>
    <row r="25" spans="1:32" ht="16.5" customHeight="1">
      <c r="A25" s="87"/>
      <c r="B25" s="63"/>
      <c r="C25" s="63"/>
      <c r="D25" s="63"/>
      <c r="E25" s="64">
        <v>3</v>
      </c>
      <c r="F25" s="69" t="s">
        <v>34</v>
      </c>
      <c r="G25" s="69" t="s">
        <v>34</v>
      </c>
      <c r="H25" s="88"/>
      <c r="I25" s="69" t="s">
        <v>34</v>
      </c>
      <c r="J25" s="69" t="s">
        <v>34</v>
      </c>
      <c r="K25" s="63"/>
      <c r="L25" s="69" t="s">
        <v>34</v>
      </c>
      <c r="M25" s="69" t="s">
        <v>34</v>
      </c>
      <c r="N25" s="66" t="s">
        <v>37</v>
      </c>
      <c r="O25" s="88"/>
      <c r="P25" s="63"/>
      <c r="Q25" s="63">
        <v>4</v>
      </c>
      <c r="R25" s="69" t="s">
        <v>34</v>
      </c>
      <c r="S25" s="66">
        <v>4</v>
      </c>
      <c r="T25" s="69" t="s">
        <v>34</v>
      </c>
      <c r="U25" s="69" t="s">
        <v>34</v>
      </c>
      <c r="V25" s="69" t="s">
        <v>34</v>
      </c>
      <c r="W25" s="121">
        <v>2</v>
      </c>
      <c r="X25" s="69" t="s">
        <v>34</v>
      </c>
      <c r="Y25" s="91">
        <v>2</v>
      </c>
      <c r="Z25" s="70"/>
      <c r="AA25" s="69" t="s">
        <v>34</v>
      </c>
      <c r="AB25" s="69" t="s">
        <v>34</v>
      </c>
      <c r="AC25" s="97">
        <v>3</v>
      </c>
      <c r="AD25" s="76">
        <f t="shared" si="3"/>
        <v>3</v>
      </c>
      <c r="AE25" s="77">
        <f t="shared" si="4"/>
        <v>0</v>
      </c>
      <c r="AF25" s="77">
        <f t="shared" si="5"/>
        <v>0</v>
      </c>
    </row>
    <row r="26" spans="1:32" ht="16.5" customHeight="1">
      <c r="A26" s="87"/>
      <c r="B26" s="63"/>
      <c r="C26" s="63"/>
      <c r="D26" s="63"/>
      <c r="E26" s="64"/>
      <c r="F26" s="63"/>
      <c r="G26" s="111"/>
      <c r="H26" s="65"/>
      <c r="I26" s="100"/>
      <c r="J26" s="69"/>
      <c r="K26" s="63"/>
      <c r="L26" s="100"/>
      <c r="M26" s="65"/>
      <c r="N26" s="66"/>
      <c r="O26" s="88"/>
      <c r="P26" s="63"/>
      <c r="Q26" s="63"/>
      <c r="R26" s="63"/>
      <c r="S26" s="66"/>
      <c r="T26" s="74"/>
      <c r="U26" s="96"/>
      <c r="V26" s="96"/>
      <c r="W26" s="70"/>
      <c r="X26" s="70"/>
      <c r="Y26" s="70"/>
      <c r="Z26" s="70"/>
      <c r="AA26" s="70"/>
      <c r="AB26" s="70"/>
      <c r="AC26" s="97"/>
      <c r="AD26" s="76" t="str">
        <f t="shared" si="3"/>
        <v>Нет оценок</v>
      </c>
      <c r="AE26" s="77">
        <f t="shared" si="4"/>
        <v>0</v>
      </c>
      <c r="AF26" s="77">
        <f t="shared" si="5"/>
        <v>0</v>
      </c>
    </row>
    <row r="27" spans="1:32" ht="16.5" customHeight="1">
      <c r="A27" s="122"/>
      <c r="B27" s="63"/>
      <c r="C27" s="63"/>
      <c r="D27" s="63"/>
      <c r="E27" s="123">
        <v>2</v>
      </c>
      <c r="F27" s="63"/>
      <c r="G27" s="66"/>
      <c r="H27" s="88"/>
      <c r="I27" s="63">
        <v>5</v>
      </c>
      <c r="J27" s="63"/>
      <c r="K27" s="63"/>
      <c r="L27" s="100">
        <v>2</v>
      </c>
      <c r="M27" s="72" t="s">
        <v>35</v>
      </c>
      <c r="N27" s="66"/>
      <c r="O27" s="88"/>
      <c r="P27" s="63"/>
      <c r="Q27" s="123">
        <v>2</v>
      </c>
      <c r="R27" s="63"/>
      <c r="S27" s="124">
        <v>2</v>
      </c>
      <c r="T27" s="95" t="s">
        <v>37</v>
      </c>
      <c r="U27" s="73"/>
      <c r="V27" s="73"/>
      <c r="W27" s="72">
        <v>3</v>
      </c>
      <c r="X27" s="73"/>
      <c r="Y27" s="73">
        <v>5</v>
      </c>
      <c r="Z27" s="73"/>
      <c r="AA27" s="73"/>
      <c r="AB27" s="73"/>
      <c r="AC27" s="125">
        <v>3</v>
      </c>
      <c r="AD27" s="76">
        <f t="shared" si="3"/>
        <v>3</v>
      </c>
      <c r="AE27" s="77">
        <f t="shared" si="4"/>
        <v>0</v>
      </c>
      <c r="AF27" s="77">
        <f t="shared" si="5"/>
        <v>0</v>
      </c>
    </row>
    <row r="28" spans="1:32" ht="16.5" customHeight="1">
      <c r="A28" s="87"/>
      <c r="B28" s="63"/>
      <c r="C28" s="63"/>
      <c r="D28" s="63"/>
      <c r="E28" s="64">
        <v>3</v>
      </c>
      <c r="F28" s="63"/>
      <c r="G28" s="66"/>
      <c r="H28" s="88"/>
      <c r="I28" s="65" t="s">
        <v>34</v>
      </c>
      <c r="J28" s="65" t="s">
        <v>34</v>
      </c>
      <c r="K28" s="65" t="s">
        <v>34</v>
      </c>
      <c r="L28" s="65" t="s">
        <v>34</v>
      </c>
      <c r="M28" s="63"/>
      <c r="N28" s="66" t="s">
        <v>37</v>
      </c>
      <c r="O28" s="88"/>
      <c r="P28" s="63"/>
      <c r="Q28" s="63">
        <v>5</v>
      </c>
      <c r="R28" s="63"/>
      <c r="S28" s="66">
        <v>5</v>
      </c>
      <c r="T28" s="74"/>
      <c r="U28" s="70"/>
      <c r="V28" s="70"/>
      <c r="W28" s="91">
        <v>2</v>
      </c>
      <c r="X28" s="70"/>
      <c r="Y28" s="70">
        <v>4</v>
      </c>
      <c r="Z28" s="70"/>
      <c r="AA28" s="70"/>
      <c r="AB28" s="70"/>
      <c r="AC28" s="97">
        <v>4</v>
      </c>
      <c r="AD28" s="126">
        <f t="shared" si="3"/>
        <v>3.8333333333333335</v>
      </c>
      <c r="AE28" s="77">
        <f t="shared" si="4"/>
        <v>0</v>
      </c>
      <c r="AF28" s="77">
        <f t="shared" si="5"/>
        <v>0</v>
      </c>
    </row>
    <row r="29" spans="1:32" ht="15.75">
      <c r="AD29" s="127">
        <f>IFERROR(AVERAGE(AD5:AD28),"")</f>
        <v>3.9270186335403721</v>
      </c>
      <c r="AE29" s="128">
        <f>SUM(AE5:AE28)</f>
        <v>0</v>
      </c>
      <c r="AF29" s="128">
        <f>SUM(AF5:AF28)</f>
        <v>0</v>
      </c>
    </row>
  </sheetData>
  <mergeCells count="3">
    <mergeCell ref="A1:AB1"/>
    <mergeCell ref="A2:AB2"/>
    <mergeCell ref="AE3:AF3"/>
  </mergeCells>
  <conditionalFormatting sqref="AD5:AD29">
    <cfRule type="cellIs" dxfId="93" priority="2" operator="lessThan">
      <formula>3</formula>
    </cfRule>
  </conditionalFormatting>
  <conditionalFormatting sqref="AF5:AF28">
    <cfRule type="cellIs" dxfId="92" priority="1" operator="greaterThan">
      <formula>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6"/>
  <sheetViews>
    <sheetView zoomScale="85"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customWidth="1"/>
    <col min="2" max="2" width="34.44140625" customWidth="1"/>
    <col min="3" max="39" width="2.77734375" customWidth="1"/>
    <col min="40" max="40" width="10.6640625" customWidth="1"/>
    <col min="41" max="42" width="8.109375" customWidth="1"/>
  </cols>
  <sheetData>
    <row r="1" spans="1:42" ht="27.75">
      <c r="A1" s="1277" t="s">
        <v>38</v>
      </c>
      <c r="B1" s="1277"/>
      <c r="C1" s="1280" t="s">
        <v>7</v>
      </c>
      <c r="D1" s="1280"/>
      <c r="E1" s="1280"/>
      <c r="F1" s="1280"/>
      <c r="G1" s="1280"/>
      <c r="H1" s="1280"/>
      <c r="I1" s="1280"/>
      <c r="J1" s="1280"/>
      <c r="K1" s="1280"/>
      <c r="L1" s="1280"/>
      <c r="M1" s="1280"/>
      <c r="N1" s="1280"/>
      <c r="O1" s="1280"/>
      <c r="P1" s="1280"/>
      <c r="Q1" s="1280"/>
      <c r="R1" s="1280"/>
      <c r="S1" s="1280"/>
      <c r="T1" s="1280"/>
      <c r="U1" s="1280"/>
      <c r="V1" s="1280"/>
      <c r="W1" s="1280"/>
      <c r="X1" s="1280"/>
      <c r="Y1" s="1280"/>
      <c r="Z1" s="1280"/>
      <c r="AA1" s="1280"/>
      <c r="AB1" s="1280"/>
      <c r="AC1" s="1280"/>
      <c r="AD1" s="1280"/>
      <c r="AE1" s="1280"/>
      <c r="AF1" s="1280"/>
      <c r="AG1" s="1280"/>
      <c r="AH1" s="1280"/>
      <c r="AI1" s="1280"/>
      <c r="AJ1" s="1280"/>
      <c r="AK1" s="1280"/>
      <c r="AL1" s="1280"/>
      <c r="AM1" s="1280"/>
    </row>
    <row r="2" spans="1:42" ht="27.75">
      <c r="A2" s="1277" t="s">
        <v>39</v>
      </c>
      <c r="B2" s="1277"/>
      <c r="C2" s="1277" t="s">
        <v>40</v>
      </c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1277"/>
      <c r="AD2" s="1277"/>
      <c r="AE2" s="1277"/>
      <c r="AF2" s="1277"/>
      <c r="AG2" s="1277"/>
      <c r="AH2" s="1277"/>
      <c r="AI2" s="1277"/>
      <c r="AJ2" s="1277"/>
      <c r="AK2" s="1277"/>
      <c r="AL2" s="1277"/>
      <c r="AM2" s="1277"/>
      <c r="AN2" s="32"/>
      <c r="AO2" s="32"/>
      <c r="AP2" s="32"/>
    </row>
    <row r="3" spans="1:42" ht="15.75">
      <c r="A3" s="1281" t="s">
        <v>41</v>
      </c>
      <c r="B3" s="129" t="s">
        <v>42</v>
      </c>
      <c r="C3" s="130">
        <v>9</v>
      </c>
      <c r="D3" s="43">
        <v>9</v>
      </c>
      <c r="E3" s="43">
        <v>9</v>
      </c>
      <c r="F3" s="43">
        <v>10</v>
      </c>
      <c r="G3" s="43">
        <v>11</v>
      </c>
      <c r="H3" s="43">
        <v>11</v>
      </c>
      <c r="I3" s="43">
        <v>11</v>
      </c>
      <c r="J3" s="43">
        <v>11</v>
      </c>
      <c r="K3" s="43">
        <v>12</v>
      </c>
      <c r="L3" s="43">
        <v>12</v>
      </c>
      <c r="M3" s="43">
        <v>12</v>
      </c>
      <c r="N3" s="43">
        <v>12</v>
      </c>
      <c r="O3" s="43">
        <v>12</v>
      </c>
      <c r="P3" s="43">
        <v>12</v>
      </c>
      <c r="Q3" s="131">
        <v>12</v>
      </c>
      <c r="R3" s="43">
        <v>1</v>
      </c>
      <c r="S3" s="43">
        <v>1</v>
      </c>
      <c r="T3" s="43">
        <v>1</v>
      </c>
      <c r="U3" s="43">
        <v>2</v>
      </c>
      <c r="V3" s="43">
        <v>2</v>
      </c>
      <c r="W3" s="43">
        <v>2</v>
      </c>
      <c r="X3" s="43">
        <v>2</v>
      </c>
      <c r="Y3" s="43">
        <v>3</v>
      </c>
      <c r="Z3" s="43">
        <v>3</v>
      </c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5"/>
      <c r="AO3" s="1278" t="s">
        <v>0</v>
      </c>
      <c r="AP3" s="1279"/>
    </row>
    <row r="4" spans="1:42" ht="15.75">
      <c r="A4" s="1282"/>
      <c r="B4" s="132" t="s">
        <v>43</v>
      </c>
      <c r="C4" s="133">
        <v>10</v>
      </c>
      <c r="D4" s="58">
        <v>15</v>
      </c>
      <c r="E4" s="58">
        <v>23</v>
      </c>
      <c r="F4" s="58">
        <v>13</v>
      </c>
      <c r="G4" s="58">
        <v>24</v>
      </c>
      <c r="H4" s="58">
        <v>25</v>
      </c>
      <c r="I4" s="58">
        <v>28</v>
      </c>
      <c r="J4" s="58">
        <v>29</v>
      </c>
      <c r="K4" s="58">
        <v>2</v>
      </c>
      <c r="L4" s="134">
        <v>4</v>
      </c>
      <c r="M4" s="58">
        <v>10</v>
      </c>
      <c r="N4" s="58">
        <v>12</v>
      </c>
      <c r="O4" s="58">
        <v>16</v>
      </c>
      <c r="P4" s="58">
        <v>17</v>
      </c>
      <c r="Q4" s="135">
        <v>23</v>
      </c>
      <c r="R4" s="58">
        <v>13</v>
      </c>
      <c r="S4" s="58">
        <v>17</v>
      </c>
      <c r="T4" s="58">
        <v>31</v>
      </c>
      <c r="U4" s="58">
        <v>14</v>
      </c>
      <c r="V4" s="134">
        <v>16</v>
      </c>
      <c r="W4" s="58">
        <v>24</v>
      </c>
      <c r="X4" s="58">
        <v>28</v>
      </c>
      <c r="Y4" s="58">
        <v>3</v>
      </c>
      <c r="Z4" s="58">
        <v>4</v>
      </c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45" t="s">
        <v>33</v>
      </c>
      <c r="AO4" s="60" t="s">
        <v>5</v>
      </c>
      <c r="AP4" s="60" t="s">
        <v>6</v>
      </c>
    </row>
    <row r="5" spans="1:42" ht="16.5" customHeight="1">
      <c r="A5" s="136" t="s">
        <v>44</v>
      </c>
      <c r="B5" s="137" t="s">
        <v>45</v>
      </c>
      <c r="C5" s="74"/>
      <c r="D5" s="70">
        <v>2</v>
      </c>
      <c r="E5" s="70">
        <v>5</v>
      </c>
      <c r="F5" s="70">
        <v>5</v>
      </c>
      <c r="G5" s="70"/>
      <c r="H5" s="70" t="s">
        <v>46</v>
      </c>
      <c r="I5" s="70" t="s">
        <v>46</v>
      </c>
      <c r="J5" s="70" t="s">
        <v>46</v>
      </c>
      <c r="K5" s="70" t="s">
        <v>46</v>
      </c>
      <c r="L5" s="70" t="s">
        <v>46</v>
      </c>
      <c r="M5" s="70" t="s">
        <v>46</v>
      </c>
      <c r="N5" s="70" t="s">
        <v>46</v>
      </c>
      <c r="O5" s="70" t="s">
        <v>46</v>
      </c>
      <c r="P5" s="70"/>
      <c r="Q5" s="138" t="s">
        <v>47</v>
      </c>
      <c r="R5" s="70" t="s">
        <v>46</v>
      </c>
      <c r="S5" s="70" t="s">
        <v>46</v>
      </c>
      <c r="T5" s="70" t="s">
        <v>46</v>
      </c>
      <c r="U5" s="70" t="s">
        <v>48</v>
      </c>
      <c r="V5" s="70" t="s">
        <v>46</v>
      </c>
      <c r="W5" s="70">
        <v>2</v>
      </c>
      <c r="X5" s="70" t="s">
        <v>37</v>
      </c>
      <c r="Y5" s="70" t="s">
        <v>46</v>
      </c>
      <c r="Z5" s="70">
        <v>4</v>
      </c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6">
        <f t="shared" ref="AN5:AN9" si="0">IFERROR(AVERAGE(C5:AM5),"Нет оценок")</f>
        <v>3.6</v>
      </c>
      <c r="AO5" s="77">
        <f t="shared" ref="AO5:AO9" si="1">COUNTIF(C5:AM5,"н/у")</f>
        <v>1</v>
      </c>
      <c r="AP5" s="77">
        <f t="shared" ref="AP5:AP9" si="2">COUNTIF(C5:AM5,"н")</f>
        <v>13</v>
      </c>
    </row>
    <row r="6" spans="1:42" ht="16.5" customHeight="1">
      <c r="A6" s="139" t="s">
        <v>49</v>
      </c>
      <c r="B6" s="140" t="s">
        <v>50</v>
      </c>
      <c r="C6" s="108"/>
      <c r="D6" s="96">
        <v>4</v>
      </c>
      <c r="E6" s="96">
        <v>5</v>
      </c>
      <c r="F6" s="96" t="s">
        <v>46</v>
      </c>
      <c r="G6" s="96">
        <v>5</v>
      </c>
      <c r="H6" s="96">
        <v>5</v>
      </c>
      <c r="I6" s="96">
        <v>2</v>
      </c>
      <c r="J6" s="96"/>
      <c r="K6" s="96">
        <v>4</v>
      </c>
      <c r="L6" s="96">
        <v>3</v>
      </c>
      <c r="M6" s="96" t="s">
        <v>34</v>
      </c>
      <c r="N6" s="96" t="s">
        <v>34</v>
      </c>
      <c r="O6" s="96"/>
      <c r="P6" s="96"/>
      <c r="Q6" s="141">
        <v>4</v>
      </c>
      <c r="R6" s="96" t="s">
        <v>46</v>
      </c>
      <c r="S6" s="96">
        <v>3</v>
      </c>
      <c r="T6" s="96" t="s">
        <v>46</v>
      </c>
      <c r="U6" s="96"/>
      <c r="V6" s="96">
        <v>2</v>
      </c>
      <c r="W6" s="96" t="s">
        <v>46</v>
      </c>
      <c r="X6" s="96" t="s">
        <v>46</v>
      </c>
      <c r="Y6" s="96" t="s">
        <v>46</v>
      </c>
      <c r="Z6" s="96" t="s">
        <v>46</v>
      </c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76">
        <f t="shared" si="0"/>
        <v>3.7</v>
      </c>
      <c r="AO6" s="77">
        <f t="shared" si="1"/>
        <v>0</v>
      </c>
      <c r="AP6" s="77">
        <f t="shared" si="2"/>
        <v>7</v>
      </c>
    </row>
    <row r="7" spans="1:42" ht="16.5" customHeight="1">
      <c r="A7" s="142" t="s">
        <v>51</v>
      </c>
      <c r="B7" s="137" t="s">
        <v>52</v>
      </c>
      <c r="C7" s="74"/>
      <c r="D7" s="70">
        <v>4</v>
      </c>
      <c r="E7" s="70" t="s">
        <v>34</v>
      </c>
      <c r="F7" s="70">
        <v>4</v>
      </c>
      <c r="G7" s="70"/>
      <c r="H7" s="70">
        <v>2</v>
      </c>
      <c r="I7" s="70">
        <v>3</v>
      </c>
      <c r="J7" s="70">
        <v>2</v>
      </c>
      <c r="K7" s="70">
        <v>4</v>
      </c>
      <c r="L7" s="143" t="s">
        <v>34</v>
      </c>
      <c r="M7" s="70"/>
      <c r="N7" s="70" t="s">
        <v>34</v>
      </c>
      <c r="O7" s="70"/>
      <c r="P7" s="70"/>
      <c r="Q7" s="138">
        <v>4</v>
      </c>
      <c r="R7" s="70">
        <v>4</v>
      </c>
      <c r="S7" s="70">
        <v>5</v>
      </c>
      <c r="T7" s="70">
        <v>4</v>
      </c>
      <c r="U7" s="70" t="s">
        <v>46</v>
      </c>
      <c r="V7" s="70">
        <v>3</v>
      </c>
      <c r="W7" s="70">
        <v>4</v>
      </c>
      <c r="X7" s="70" t="s">
        <v>37</v>
      </c>
      <c r="Y7" s="70" t="s">
        <v>37</v>
      </c>
      <c r="Z7" s="70">
        <v>5</v>
      </c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6">
        <f t="shared" si="0"/>
        <v>3.6923076923076925</v>
      </c>
      <c r="AO7" s="77">
        <f t="shared" si="1"/>
        <v>0</v>
      </c>
      <c r="AP7" s="77">
        <f t="shared" si="2"/>
        <v>1</v>
      </c>
    </row>
    <row r="8" spans="1:42" ht="16.5" customHeight="1">
      <c r="A8" s="144" t="s">
        <v>53</v>
      </c>
      <c r="B8" s="145" t="s">
        <v>54</v>
      </c>
      <c r="C8" s="74"/>
      <c r="D8" s="70" t="s">
        <v>34</v>
      </c>
      <c r="E8" s="70" t="s">
        <v>34</v>
      </c>
      <c r="F8" s="70" t="s">
        <v>34</v>
      </c>
      <c r="G8" s="70">
        <v>4</v>
      </c>
      <c r="H8" s="70">
        <v>2</v>
      </c>
      <c r="I8" s="70">
        <v>3</v>
      </c>
      <c r="J8" s="70">
        <v>2</v>
      </c>
      <c r="K8" s="70">
        <v>4</v>
      </c>
      <c r="L8" s="70">
        <v>3</v>
      </c>
      <c r="M8" s="70"/>
      <c r="N8" s="70" t="s">
        <v>46</v>
      </c>
      <c r="O8" s="70"/>
      <c r="P8" s="70"/>
      <c r="Q8" s="138">
        <v>4</v>
      </c>
      <c r="R8" s="70">
        <v>5</v>
      </c>
      <c r="S8" s="70" t="s">
        <v>46</v>
      </c>
      <c r="T8" s="70">
        <v>4</v>
      </c>
      <c r="U8" s="70" t="s">
        <v>46</v>
      </c>
      <c r="V8" s="70">
        <v>3</v>
      </c>
      <c r="W8" s="70" t="s">
        <v>46</v>
      </c>
      <c r="X8" s="70" t="s">
        <v>37</v>
      </c>
      <c r="Y8" s="70" t="s">
        <v>37</v>
      </c>
      <c r="Z8" s="70">
        <v>4</v>
      </c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6">
        <f t="shared" si="0"/>
        <v>3.4545454545454546</v>
      </c>
      <c r="AO8" s="77">
        <f t="shared" si="1"/>
        <v>0</v>
      </c>
      <c r="AP8" s="77">
        <f t="shared" si="2"/>
        <v>4</v>
      </c>
    </row>
    <row r="9" spans="1:42" ht="16.5" customHeight="1">
      <c r="A9" s="146" t="s">
        <v>55</v>
      </c>
      <c r="B9" s="147" t="s">
        <v>56</v>
      </c>
      <c r="C9" s="105"/>
      <c r="D9" s="119">
        <v>3</v>
      </c>
      <c r="E9" s="119" t="s">
        <v>34</v>
      </c>
      <c r="F9" s="119">
        <v>4</v>
      </c>
      <c r="G9" s="119">
        <v>2</v>
      </c>
      <c r="H9" s="119">
        <v>2</v>
      </c>
      <c r="I9" s="119">
        <v>3</v>
      </c>
      <c r="J9" s="119">
        <v>4</v>
      </c>
      <c r="K9" s="119">
        <v>4</v>
      </c>
      <c r="L9" s="119">
        <v>3</v>
      </c>
      <c r="M9" s="119"/>
      <c r="N9" s="119" t="s">
        <v>34</v>
      </c>
      <c r="O9" s="119"/>
      <c r="P9" s="119"/>
      <c r="Q9" s="148">
        <v>4</v>
      </c>
      <c r="R9" s="119">
        <v>5</v>
      </c>
      <c r="S9" s="119">
        <v>4</v>
      </c>
      <c r="T9" s="119">
        <v>4</v>
      </c>
      <c r="U9" s="119"/>
      <c r="V9" s="119">
        <v>4</v>
      </c>
      <c r="W9" s="119" t="s">
        <v>46</v>
      </c>
      <c r="X9" s="119" t="s">
        <v>37</v>
      </c>
      <c r="Y9" s="119" t="s">
        <v>46</v>
      </c>
      <c r="Z9" s="119">
        <v>3</v>
      </c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76">
        <f t="shared" si="0"/>
        <v>3.5</v>
      </c>
      <c r="AO9" s="77">
        <f t="shared" si="1"/>
        <v>0</v>
      </c>
      <c r="AP9" s="77">
        <f t="shared" si="2"/>
        <v>2</v>
      </c>
    </row>
    <row r="10" spans="1:42" ht="16.5" customHeight="1">
      <c r="A10" s="149" t="s">
        <v>57</v>
      </c>
      <c r="B10" s="150" t="s">
        <v>58</v>
      </c>
      <c r="C10" s="108">
        <v>5</v>
      </c>
      <c r="D10" s="96">
        <v>5</v>
      </c>
      <c r="E10" s="96">
        <v>5</v>
      </c>
      <c r="F10" s="96">
        <v>5</v>
      </c>
      <c r="G10" s="96">
        <v>5</v>
      </c>
      <c r="H10" s="96">
        <v>3</v>
      </c>
      <c r="I10" s="96">
        <v>2</v>
      </c>
      <c r="J10" s="96">
        <v>5</v>
      </c>
      <c r="K10" s="96">
        <v>5</v>
      </c>
      <c r="L10" s="96">
        <v>5</v>
      </c>
      <c r="M10" s="96">
        <v>5</v>
      </c>
      <c r="N10" s="96" t="s">
        <v>34</v>
      </c>
      <c r="O10" s="96"/>
      <c r="P10" s="96"/>
      <c r="Q10" s="141">
        <v>4</v>
      </c>
      <c r="R10" s="96">
        <v>5</v>
      </c>
      <c r="S10" s="96">
        <v>5</v>
      </c>
      <c r="T10" s="96">
        <v>5</v>
      </c>
      <c r="U10" s="96"/>
      <c r="V10" s="96">
        <v>5</v>
      </c>
      <c r="W10" s="96">
        <v>4</v>
      </c>
      <c r="X10" s="96" t="s">
        <v>37</v>
      </c>
      <c r="Y10" s="96" t="s">
        <v>37</v>
      </c>
      <c r="Z10" s="96">
        <v>5</v>
      </c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76">
        <f t="shared" ref="AN10:AN28" si="3">IFERROR(AVERAGE(C10:AM10),"Нет оценок")</f>
        <v>4.6111111111111107</v>
      </c>
      <c r="AO10" s="77">
        <f t="shared" ref="AO10:AO28" si="4">COUNTIF(C10:AM10,"н/у")</f>
        <v>0</v>
      </c>
      <c r="AP10" s="77">
        <f t="shared" ref="AP10:AP28" si="5">COUNTIF(C10:AM10,"н")</f>
        <v>0</v>
      </c>
    </row>
    <row r="11" spans="1:42" ht="16.5" customHeight="1">
      <c r="A11" s="144" t="s">
        <v>59</v>
      </c>
      <c r="B11" s="137" t="s">
        <v>60</v>
      </c>
      <c r="C11" s="74"/>
      <c r="D11" s="70">
        <v>3</v>
      </c>
      <c r="E11" s="70">
        <v>4</v>
      </c>
      <c r="F11" s="70">
        <v>4</v>
      </c>
      <c r="G11" s="70"/>
      <c r="H11" s="70">
        <v>3</v>
      </c>
      <c r="I11" s="70">
        <v>3</v>
      </c>
      <c r="J11" s="70">
        <v>2</v>
      </c>
      <c r="K11" s="70">
        <v>4</v>
      </c>
      <c r="L11" s="70">
        <v>3</v>
      </c>
      <c r="M11" s="70"/>
      <c r="N11" s="70" t="s">
        <v>34</v>
      </c>
      <c r="O11" s="70"/>
      <c r="P11" s="70"/>
      <c r="Q11" s="138">
        <v>4</v>
      </c>
      <c r="R11" s="70">
        <v>4</v>
      </c>
      <c r="S11" s="70">
        <v>4</v>
      </c>
      <c r="T11" s="70">
        <v>4</v>
      </c>
      <c r="U11" s="70"/>
      <c r="V11" s="70">
        <v>4</v>
      </c>
      <c r="W11" s="70" t="s">
        <v>46</v>
      </c>
      <c r="X11" s="70" t="s">
        <v>37</v>
      </c>
      <c r="Y11" s="70" t="s">
        <v>37</v>
      </c>
      <c r="Z11" s="70">
        <v>4</v>
      </c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6">
        <f t="shared" si="3"/>
        <v>3.5714285714285716</v>
      </c>
      <c r="AO11" s="77">
        <f t="shared" si="4"/>
        <v>0</v>
      </c>
      <c r="AP11" s="77">
        <f t="shared" si="5"/>
        <v>1</v>
      </c>
    </row>
    <row r="12" spans="1:42" ht="15" customHeight="1">
      <c r="A12" s="144" t="s">
        <v>61</v>
      </c>
      <c r="B12" s="137" t="s">
        <v>62</v>
      </c>
      <c r="C12" s="74" t="s">
        <v>34</v>
      </c>
      <c r="D12" s="70" t="s">
        <v>34</v>
      </c>
      <c r="E12" s="70" t="s">
        <v>34</v>
      </c>
      <c r="F12" s="70">
        <v>3</v>
      </c>
      <c r="G12" s="70"/>
      <c r="H12" s="70">
        <v>2</v>
      </c>
      <c r="I12" s="70">
        <v>2</v>
      </c>
      <c r="J12" s="70">
        <v>2</v>
      </c>
      <c r="K12" s="70">
        <v>3</v>
      </c>
      <c r="L12" s="70">
        <v>4</v>
      </c>
      <c r="M12" s="70"/>
      <c r="N12" s="70" t="s">
        <v>46</v>
      </c>
      <c r="O12" s="70"/>
      <c r="P12" s="70"/>
      <c r="Q12" s="138" t="s">
        <v>47</v>
      </c>
      <c r="R12" s="70" t="s">
        <v>46</v>
      </c>
      <c r="S12" s="70">
        <v>4</v>
      </c>
      <c r="T12" s="70">
        <v>3</v>
      </c>
      <c r="U12" s="70"/>
      <c r="V12" s="70">
        <v>4</v>
      </c>
      <c r="W12" s="70"/>
      <c r="X12" s="70" t="s">
        <v>37</v>
      </c>
      <c r="Y12" s="70" t="s">
        <v>46</v>
      </c>
      <c r="Z12" s="70">
        <v>4</v>
      </c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6">
        <f t="shared" si="3"/>
        <v>3.1</v>
      </c>
      <c r="AO12" s="77">
        <f t="shared" si="4"/>
        <v>0</v>
      </c>
      <c r="AP12" s="77">
        <f t="shared" si="5"/>
        <v>3</v>
      </c>
    </row>
    <row r="13" spans="1:42" ht="15" customHeight="1">
      <c r="A13" s="144" t="s">
        <v>63</v>
      </c>
      <c r="B13" s="150" t="s">
        <v>64</v>
      </c>
      <c r="C13" s="108">
        <v>5</v>
      </c>
      <c r="D13" s="96">
        <v>2</v>
      </c>
      <c r="E13" s="96" t="s">
        <v>46</v>
      </c>
      <c r="F13" s="96" t="s">
        <v>46</v>
      </c>
      <c r="G13" s="96"/>
      <c r="H13" s="96" t="s">
        <v>46</v>
      </c>
      <c r="I13" s="96">
        <v>2</v>
      </c>
      <c r="J13" s="96" t="s">
        <v>46</v>
      </c>
      <c r="K13" s="96">
        <v>2</v>
      </c>
      <c r="L13" s="96">
        <v>2</v>
      </c>
      <c r="M13" s="96" t="s">
        <v>46</v>
      </c>
      <c r="N13" s="96" t="s">
        <v>46</v>
      </c>
      <c r="O13" s="96"/>
      <c r="P13" s="96"/>
      <c r="Q13" s="141" t="s">
        <v>46</v>
      </c>
      <c r="R13" s="96">
        <v>2</v>
      </c>
      <c r="S13" s="96" t="s">
        <v>46</v>
      </c>
      <c r="T13" s="96">
        <v>2</v>
      </c>
      <c r="U13" s="96"/>
      <c r="V13" s="96" t="s">
        <v>46</v>
      </c>
      <c r="W13" s="96"/>
      <c r="X13" s="96" t="s">
        <v>46</v>
      </c>
      <c r="Y13" s="96" t="s">
        <v>46</v>
      </c>
      <c r="Z13" s="96">
        <v>2</v>
      </c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76">
        <f t="shared" si="3"/>
        <v>2.375</v>
      </c>
      <c r="AO13" s="77">
        <f t="shared" si="4"/>
        <v>0</v>
      </c>
      <c r="AP13" s="77">
        <f t="shared" si="5"/>
        <v>11</v>
      </c>
    </row>
    <row r="14" spans="1:42" ht="16.5" customHeight="1">
      <c r="A14" s="146" t="s">
        <v>65</v>
      </c>
      <c r="B14" s="151" t="s">
        <v>66</v>
      </c>
      <c r="C14" s="101">
        <v>5</v>
      </c>
      <c r="D14" s="103">
        <v>4</v>
      </c>
      <c r="E14" s="103" t="s">
        <v>34</v>
      </c>
      <c r="F14" s="103" t="s">
        <v>34</v>
      </c>
      <c r="G14" s="103">
        <v>4</v>
      </c>
      <c r="H14" s="103">
        <v>2</v>
      </c>
      <c r="I14" s="103">
        <v>3</v>
      </c>
      <c r="J14" s="103">
        <v>4</v>
      </c>
      <c r="K14" s="103">
        <v>3</v>
      </c>
      <c r="L14" s="103">
        <v>3</v>
      </c>
      <c r="M14" s="103">
        <v>2</v>
      </c>
      <c r="N14" s="103">
        <v>5</v>
      </c>
      <c r="O14" s="103"/>
      <c r="P14" s="103"/>
      <c r="Q14" s="152">
        <v>4</v>
      </c>
      <c r="R14" s="103">
        <v>3</v>
      </c>
      <c r="S14" s="103">
        <v>5</v>
      </c>
      <c r="T14" s="103">
        <v>4</v>
      </c>
      <c r="U14" s="103"/>
      <c r="V14" s="103">
        <v>3</v>
      </c>
      <c r="W14" s="103">
        <v>5</v>
      </c>
      <c r="X14" s="103" t="s">
        <v>37</v>
      </c>
      <c r="Y14" s="103" t="s">
        <v>46</v>
      </c>
      <c r="Z14" s="103">
        <v>3</v>
      </c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76">
        <f t="shared" si="3"/>
        <v>3.6470588235294117</v>
      </c>
      <c r="AO14" s="77">
        <f t="shared" si="4"/>
        <v>0</v>
      </c>
      <c r="AP14" s="77">
        <f t="shared" si="5"/>
        <v>1</v>
      </c>
    </row>
    <row r="15" spans="1:42" ht="16.5" customHeight="1">
      <c r="A15" s="149" t="s">
        <v>67</v>
      </c>
      <c r="B15" s="150" t="s">
        <v>68</v>
      </c>
      <c r="C15" s="108"/>
      <c r="D15" s="96">
        <v>3</v>
      </c>
      <c r="E15" s="96" t="s">
        <v>48</v>
      </c>
      <c r="F15" s="96">
        <v>4</v>
      </c>
      <c r="G15" s="96"/>
      <c r="H15" s="96">
        <v>2</v>
      </c>
      <c r="I15" s="96">
        <v>2</v>
      </c>
      <c r="J15" s="96"/>
      <c r="K15" s="96">
        <v>3</v>
      </c>
      <c r="L15" s="96">
        <v>3</v>
      </c>
      <c r="M15" s="96">
        <v>5</v>
      </c>
      <c r="N15" s="96" t="s">
        <v>46</v>
      </c>
      <c r="O15" s="96"/>
      <c r="P15" s="96"/>
      <c r="Q15" s="141">
        <v>3</v>
      </c>
      <c r="R15" s="96">
        <v>4</v>
      </c>
      <c r="S15" s="96" t="s">
        <v>46</v>
      </c>
      <c r="T15" s="96">
        <v>4</v>
      </c>
      <c r="U15" s="96"/>
      <c r="V15" s="96">
        <v>3</v>
      </c>
      <c r="W15" s="96"/>
      <c r="X15" s="96" t="s">
        <v>37</v>
      </c>
      <c r="Y15" s="96" t="s">
        <v>46</v>
      </c>
      <c r="Z15" s="96">
        <v>3</v>
      </c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76">
        <f t="shared" si="3"/>
        <v>3.25</v>
      </c>
      <c r="AO15" s="77">
        <f t="shared" si="4"/>
        <v>1</v>
      </c>
      <c r="AP15" s="77">
        <f t="shared" si="5"/>
        <v>3</v>
      </c>
    </row>
    <row r="16" spans="1:42" ht="16.5" customHeight="1">
      <c r="A16" s="144" t="s">
        <v>69</v>
      </c>
      <c r="B16" s="137" t="s">
        <v>70</v>
      </c>
      <c r="C16" s="74">
        <v>2</v>
      </c>
      <c r="D16" s="70">
        <v>4</v>
      </c>
      <c r="E16" s="70" t="s">
        <v>34</v>
      </c>
      <c r="F16" s="70" t="s">
        <v>34</v>
      </c>
      <c r="G16" s="143" t="s">
        <v>35</v>
      </c>
      <c r="H16" s="70" t="s">
        <v>35</v>
      </c>
      <c r="I16" s="70">
        <v>2</v>
      </c>
      <c r="J16" s="70">
        <v>4</v>
      </c>
      <c r="K16" s="70">
        <v>2</v>
      </c>
      <c r="L16" s="70">
        <v>3</v>
      </c>
      <c r="M16" s="70"/>
      <c r="N16" s="70" t="s">
        <v>46</v>
      </c>
      <c r="O16" s="70"/>
      <c r="P16" s="70"/>
      <c r="Q16" s="138">
        <v>4</v>
      </c>
      <c r="R16" s="70">
        <v>2</v>
      </c>
      <c r="S16" s="70">
        <v>5</v>
      </c>
      <c r="T16" s="70">
        <v>4</v>
      </c>
      <c r="U16" s="70"/>
      <c r="V16" s="70">
        <v>4</v>
      </c>
      <c r="W16" s="70">
        <v>4</v>
      </c>
      <c r="X16" s="70" t="s">
        <v>37</v>
      </c>
      <c r="Y16" s="70" t="s">
        <v>46</v>
      </c>
      <c r="Z16" s="70">
        <v>5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6">
        <f t="shared" si="3"/>
        <v>3.4615384615384617</v>
      </c>
      <c r="AO16" s="77">
        <f t="shared" si="4"/>
        <v>0</v>
      </c>
      <c r="AP16" s="77">
        <f t="shared" si="5"/>
        <v>2</v>
      </c>
    </row>
    <row r="17" spans="1:42" ht="16.5" customHeight="1">
      <c r="A17" s="144" t="s">
        <v>71</v>
      </c>
      <c r="B17" s="137" t="s">
        <v>72</v>
      </c>
      <c r="C17" s="74" t="s">
        <v>46</v>
      </c>
      <c r="D17" s="70">
        <v>3</v>
      </c>
      <c r="E17" s="70" t="s">
        <v>46</v>
      </c>
      <c r="F17" s="70" t="s">
        <v>46</v>
      </c>
      <c r="G17" s="70"/>
      <c r="H17" s="70">
        <v>3</v>
      </c>
      <c r="I17" s="70">
        <v>4</v>
      </c>
      <c r="J17" s="70">
        <v>4</v>
      </c>
      <c r="K17" s="70" t="s">
        <v>46</v>
      </c>
      <c r="L17" s="70">
        <v>3</v>
      </c>
      <c r="M17" s="70" t="s">
        <v>46</v>
      </c>
      <c r="N17" s="70" t="s">
        <v>46</v>
      </c>
      <c r="O17" s="70"/>
      <c r="P17" s="70"/>
      <c r="Q17" s="138" t="s">
        <v>47</v>
      </c>
      <c r="R17" s="70" t="s">
        <v>34</v>
      </c>
      <c r="S17" s="70">
        <v>3</v>
      </c>
      <c r="T17" s="70">
        <v>4</v>
      </c>
      <c r="U17" s="70"/>
      <c r="V17" s="70" t="s">
        <v>46</v>
      </c>
      <c r="W17" s="70" t="s">
        <v>46</v>
      </c>
      <c r="X17" s="70" t="s">
        <v>37</v>
      </c>
      <c r="Y17" s="70" t="s">
        <v>46</v>
      </c>
      <c r="Z17" s="70" t="s">
        <v>46</v>
      </c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6">
        <f t="shared" si="3"/>
        <v>3.4285714285714284</v>
      </c>
      <c r="AO17" s="77">
        <f t="shared" si="4"/>
        <v>0</v>
      </c>
      <c r="AP17" s="77">
        <f t="shared" si="5"/>
        <v>10</v>
      </c>
    </row>
    <row r="18" spans="1:42" ht="16.5" customHeight="1">
      <c r="A18" s="144" t="s">
        <v>73</v>
      </c>
      <c r="B18" s="150" t="s">
        <v>74</v>
      </c>
      <c r="C18" s="108"/>
      <c r="D18" s="96">
        <v>3</v>
      </c>
      <c r="E18" s="96" t="s">
        <v>46</v>
      </c>
      <c r="F18" s="96">
        <v>4</v>
      </c>
      <c r="G18" s="96">
        <v>3</v>
      </c>
      <c r="H18" s="96">
        <v>2</v>
      </c>
      <c r="I18" s="96">
        <v>2</v>
      </c>
      <c r="J18" s="96">
        <v>4</v>
      </c>
      <c r="K18" s="96">
        <v>4</v>
      </c>
      <c r="L18" s="96">
        <v>5</v>
      </c>
      <c r="M18" s="96"/>
      <c r="N18" s="96" t="s">
        <v>46</v>
      </c>
      <c r="O18" s="96"/>
      <c r="P18" s="96"/>
      <c r="Q18" s="141">
        <v>4</v>
      </c>
      <c r="R18" s="96" t="s">
        <v>46</v>
      </c>
      <c r="S18" s="96">
        <v>5</v>
      </c>
      <c r="T18" s="96">
        <v>4</v>
      </c>
      <c r="U18" s="96"/>
      <c r="V18" s="96">
        <v>4</v>
      </c>
      <c r="W18" s="96"/>
      <c r="X18" s="96" t="s">
        <v>37</v>
      </c>
      <c r="Y18" s="96" t="s">
        <v>46</v>
      </c>
      <c r="Z18" s="96">
        <v>4</v>
      </c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76">
        <f t="shared" si="3"/>
        <v>3.6923076923076925</v>
      </c>
      <c r="AO18" s="77">
        <f t="shared" si="4"/>
        <v>0</v>
      </c>
      <c r="AP18" s="77">
        <f t="shared" si="5"/>
        <v>4</v>
      </c>
    </row>
    <row r="19" spans="1:42" ht="16.5" customHeight="1">
      <c r="A19" s="146" t="s">
        <v>75</v>
      </c>
      <c r="B19" s="151" t="s">
        <v>76</v>
      </c>
      <c r="C19" s="101"/>
      <c r="D19" s="103">
        <v>3</v>
      </c>
      <c r="E19" s="103" t="s">
        <v>34</v>
      </c>
      <c r="F19" s="103">
        <v>4</v>
      </c>
      <c r="G19" s="103">
        <v>2</v>
      </c>
      <c r="H19" s="103">
        <v>2</v>
      </c>
      <c r="I19" s="103">
        <v>2</v>
      </c>
      <c r="J19" s="103">
        <v>2</v>
      </c>
      <c r="K19" s="103">
        <v>4</v>
      </c>
      <c r="L19" s="103">
        <v>5</v>
      </c>
      <c r="M19" s="103" t="s">
        <v>34</v>
      </c>
      <c r="N19" s="103" t="s">
        <v>46</v>
      </c>
      <c r="O19" s="103"/>
      <c r="P19" s="103"/>
      <c r="Q19" s="152">
        <v>3</v>
      </c>
      <c r="R19" s="103">
        <v>5</v>
      </c>
      <c r="S19" s="103">
        <v>5</v>
      </c>
      <c r="T19" s="103">
        <v>5</v>
      </c>
      <c r="U19" s="103"/>
      <c r="V19" s="103">
        <v>4</v>
      </c>
      <c r="W19" s="103">
        <v>3</v>
      </c>
      <c r="X19" s="103" t="s">
        <v>37</v>
      </c>
      <c r="Y19" s="103" t="s">
        <v>46</v>
      </c>
      <c r="Z19" s="103" t="s">
        <v>46</v>
      </c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76">
        <f t="shared" si="3"/>
        <v>3.5</v>
      </c>
      <c r="AO19" s="77">
        <f t="shared" si="4"/>
        <v>0</v>
      </c>
      <c r="AP19" s="77">
        <f t="shared" si="5"/>
        <v>3</v>
      </c>
    </row>
    <row r="20" spans="1:42" ht="16.5" customHeight="1">
      <c r="A20" s="149" t="s">
        <v>77</v>
      </c>
      <c r="B20" s="150" t="s">
        <v>78</v>
      </c>
      <c r="C20" s="108"/>
      <c r="D20" s="96">
        <v>4</v>
      </c>
      <c r="E20" s="96">
        <v>5</v>
      </c>
      <c r="F20" s="96">
        <v>5</v>
      </c>
      <c r="G20" s="96"/>
      <c r="H20" s="96">
        <v>5</v>
      </c>
      <c r="I20" s="96" t="s">
        <v>34</v>
      </c>
      <c r="J20" s="96"/>
      <c r="K20" s="96">
        <v>5</v>
      </c>
      <c r="L20" s="96">
        <v>5</v>
      </c>
      <c r="M20" s="96" t="s">
        <v>34</v>
      </c>
      <c r="N20" s="96" t="s">
        <v>34</v>
      </c>
      <c r="O20" s="96"/>
      <c r="P20" s="96"/>
      <c r="Q20" s="141">
        <v>4</v>
      </c>
      <c r="R20" s="96">
        <v>5</v>
      </c>
      <c r="S20" s="96">
        <v>5</v>
      </c>
      <c r="T20" s="96">
        <v>5</v>
      </c>
      <c r="U20" s="96"/>
      <c r="V20" s="96">
        <v>5</v>
      </c>
      <c r="W20" s="96"/>
      <c r="X20" s="96" t="s">
        <v>46</v>
      </c>
      <c r="Y20" s="96" t="s">
        <v>37</v>
      </c>
      <c r="Z20" s="96" t="s">
        <v>46</v>
      </c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76">
        <f t="shared" si="3"/>
        <v>4.8181818181818183</v>
      </c>
      <c r="AO20" s="77">
        <f t="shared" si="4"/>
        <v>0</v>
      </c>
      <c r="AP20" s="77">
        <f t="shared" si="5"/>
        <v>2</v>
      </c>
    </row>
    <row r="21" spans="1:42" ht="16.5" customHeight="1">
      <c r="A21" s="144" t="s">
        <v>79</v>
      </c>
      <c r="B21" s="137" t="s">
        <v>80</v>
      </c>
      <c r="C21" s="74">
        <v>2</v>
      </c>
      <c r="D21" s="70">
        <v>4</v>
      </c>
      <c r="E21" s="70" t="s">
        <v>34</v>
      </c>
      <c r="F21" s="70">
        <v>4</v>
      </c>
      <c r="G21" s="70">
        <v>3</v>
      </c>
      <c r="H21" s="70">
        <v>2</v>
      </c>
      <c r="I21" s="70">
        <v>2</v>
      </c>
      <c r="J21" s="70" t="s">
        <v>34</v>
      </c>
      <c r="K21" s="70">
        <v>3</v>
      </c>
      <c r="L21" s="70">
        <v>4</v>
      </c>
      <c r="M21" s="70" t="s">
        <v>34</v>
      </c>
      <c r="N21" s="70" t="s">
        <v>46</v>
      </c>
      <c r="O21" s="70"/>
      <c r="P21" s="70"/>
      <c r="Q21" s="138" t="s">
        <v>47</v>
      </c>
      <c r="R21" s="70">
        <v>4</v>
      </c>
      <c r="S21" s="70">
        <v>4</v>
      </c>
      <c r="T21" s="70">
        <v>3</v>
      </c>
      <c r="U21" s="70"/>
      <c r="V21" s="70">
        <v>2</v>
      </c>
      <c r="W21" s="70">
        <v>3</v>
      </c>
      <c r="X21" s="70" t="s">
        <v>37</v>
      </c>
      <c r="Y21" s="70" t="s">
        <v>46</v>
      </c>
      <c r="Z21" s="70">
        <v>4</v>
      </c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6">
        <f t="shared" si="3"/>
        <v>3.1428571428571428</v>
      </c>
      <c r="AO21" s="77">
        <f t="shared" si="4"/>
        <v>0</v>
      </c>
      <c r="AP21" s="77">
        <f t="shared" si="5"/>
        <v>2</v>
      </c>
    </row>
    <row r="22" spans="1:42" ht="16.5" customHeight="1">
      <c r="A22" s="144" t="s">
        <v>81</v>
      </c>
      <c r="B22" s="137" t="s">
        <v>82</v>
      </c>
      <c r="C22" s="74">
        <v>5</v>
      </c>
      <c r="D22" s="70">
        <v>4</v>
      </c>
      <c r="E22" s="70" t="s">
        <v>34</v>
      </c>
      <c r="F22" s="70">
        <v>4</v>
      </c>
      <c r="G22" s="70">
        <v>4</v>
      </c>
      <c r="H22" s="70">
        <v>4</v>
      </c>
      <c r="I22" s="70">
        <v>3</v>
      </c>
      <c r="J22" s="70">
        <v>5</v>
      </c>
      <c r="K22" s="70">
        <v>3</v>
      </c>
      <c r="L22" s="70">
        <v>5</v>
      </c>
      <c r="M22" s="70"/>
      <c r="N22" s="70" t="s">
        <v>34</v>
      </c>
      <c r="O22" s="70"/>
      <c r="P22" s="70"/>
      <c r="Q22" s="138" t="s">
        <v>47</v>
      </c>
      <c r="R22" s="70">
        <v>5</v>
      </c>
      <c r="S22" s="70">
        <v>4</v>
      </c>
      <c r="T22" s="70" t="s">
        <v>46</v>
      </c>
      <c r="U22" s="70" t="s">
        <v>46</v>
      </c>
      <c r="V22" s="70">
        <v>4</v>
      </c>
      <c r="W22" s="70" t="s">
        <v>46</v>
      </c>
      <c r="X22" s="70" t="s">
        <v>37</v>
      </c>
      <c r="Y22" s="70" t="s">
        <v>37</v>
      </c>
      <c r="Z22" s="70">
        <v>4</v>
      </c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6">
        <f t="shared" si="3"/>
        <v>4.1538461538461542</v>
      </c>
      <c r="AO22" s="77">
        <f t="shared" si="4"/>
        <v>0</v>
      </c>
      <c r="AP22" s="77">
        <f t="shared" si="5"/>
        <v>3</v>
      </c>
    </row>
    <row r="23" spans="1:42" ht="16.5" customHeight="1">
      <c r="A23" s="144" t="s">
        <v>83</v>
      </c>
      <c r="B23" s="150" t="s">
        <v>84</v>
      </c>
      <c r="C23" s="108">
        <v>5</v>
      </c>
      <c r="D23" s="96">
        <v>5</v>
      </c>
      <c r="E23" s="153" t="s">
        <v>35</v>
      </c>
      <c r="F23" s="96" t="s">
        <v>34</v>
      </c>
      <c r="G23" s="96">
        <v>5</v>
      </c>
      <c r="H23" s="96">
        <v>4</v>
      </c>
      <c r="I23" s="96" t="s">
        <v>46</v>
      </c>
      <c r="J23" s="96">
        <v>5</v>
      </c>
      <c r="K23" s="96">
        <v>5</v>
      </c>
      <c r="L23" s="96" t="s">
        <v>34</v>
      </c>
      <c r="M23" s="96" t="s">
        <v>46</v>
      </c>
      <c r="N23" s="96" t="s">
        <v>46</v>
      </c>
      <c r="O23" s="96" t="s">
        <v>46</v>
      </c>
      <c r="P23" s="96"/>
      <c r="Q23" s="141">
        <v>4</v>
      </c>
      <c r="R23" s="96" t="s">
        <v>46</v>
      </c>
      <c r="S23" s="96" t="s">
        <v>46</v>
      </c>
      <c r="T23" s="96">
        <v>4</v>
      </c>
      <c r="U23" s="96" t="s">
        <v>46</v>
      </c>
      <c r="V23" s="96">
        <v>5</v>
      </c>
      <c r="W23" s="96" t="s">
        <v>46</v>
      </c>
      <c r="X23" s="96" t="s">
        <v>46</v>
      </c>
      <c r="Y23" s="96" t="s">
        <v>46</v>
      </c>
      <c r="Z23" s="96">
        <v>5</v>
      </c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76">
        <f t="shared" si="3"/>
        <v>4.7</v>
      </c>
      <c r="AO23" s="77">
        <f t="shared" si="4"/>
        <v>0</v>
      </c>
      <c r="AP23" s="77">
        <f t="shared" si="5"/>
        <v>10</v>
      </c>
    </row>
    <row r="24" spans="1:42" ht="16.5" customHeight="1">
      <c r="A24" s="154" t="s">
        <v>27</v>
      </c>
      <c r="B24" s="151" t="s">
        <v>85</v>
      </c>
      <c r="C24" s="101"/>
      <c r="D24" s="103">
        <v>3</v>
      </c>
      <c r="E24" s="103">
        <v>4</v>
      </c>
      <c r="F24" s="103">
        <v>5</v>
      </c>
      <c r="G24" s="103"/>
      <c r="H24" s="103">
        <v>2</v>
      </c>
      <c r="I24" s="103">
        <v>2</v>
      </c>
      <c r="J24" s="103">
        <v>4</v>
      </c>
      <c r="K24" s="103">
        <v>5</v>
      </c>
      <c r="L24" s="103" t="s">
        <v>34</v>
      </c>
      <c r="M24" s="155" t="s">
        <v>35</v>
      </c>
      <c r="N24" s="103" t="s">
        <v>34</v>
      </c>
      <c r="O24" s="103"/>
      <c r="P24" s="103"/>
      <c r="Q24" s="152">
        <v>4</v>
      </c>
      <c r="R24" s="103">
        <v>4</v>
      </c>
      <c r="S24" s="103">
        <v>5</v>
      </c>
      <c r="T24" s="103">
        <v>4</v>
      </c>
      <c r="U24" s="103"/>
      <c r="V24" s="103">
        <v>4</v>
      </c>
      <c r="W24" s="103">
        <v>3</v>
      </c>
      <c r="X24" s="103" t="s">
        <v>37</v>
      </c>
      <c r="Y24" s="103" t="s">
        <v>34</v>
      </c>
      <c r="Z24" s="103">
        <v>5</v>
      </c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76">
        <f t="shared" si="3"/>
        <v>3.8571428571428572</v>
      </c>
      <c r="AO24" s="77">
        <f t="shared" si="4"/>
        <v>0</v>
      </c>
      <c r="AP24" s="77">
        <f t="shared" si="5"/>
        <v>0</v>
      </c>
    </row>
    <row r="25" spans="1:42" ht="16.5" customHeight="1">
      <c r="A25" s="156" t="s">
        <v>86</v>
      </c>
      <c r="B25" s="150" t="s">
        <v>87</v>
      </c>
      <c r="C25" s="108"/>
      <c r="D25" s="96" t="s">
        <v>46</v>
      </c>
      <c r="E25" s="96" t="s">
        <v>46</v>
      </c>
      <c r="F25" s="96" t="s">
        <v>46</v>
      </c>
      <c r="G25" s="96"/>
      <c r="H25" s="96" t="s">
        <v>46</v>
      </c>
      <c r="I25" s="96">
        <v>4</v>
      </c>
      <c r="J25" s="93" t="s">
        <v>46</v>
      </c>
      <c r="K25" s="157" t="s">
        <v>48</v>
      </c>
      <c r="L25" s="157" t="s">
        <v>48</v>
      </c>
      <c r="M25" s="108" t="s">
        <v>46</v>
      </c>
      <c r="N25" s="96" t="s">
        <v>46</v>
      </c>
      <c r="O25" s="96" t="s">
        <v>46</v>
      </c>
      <c r="P25" s="96"/>
      <c r="Q25" s="141" t="s">
        <v>47</v>
      </c>
      <c r="R25" s="96" t="s">
        <v>46</v>
      </c>
      <c r="S25" s="96" t="s">
        <v>46</v>
      </c>
      <c r="T25" s="96" t="s">
        <v>46</v>
      </c>
      <c r="U25" s="96" t="s">
        <v>46</v>
      </c>
      <c r="V25" s="96" t="s">
        <v>46</v>
      </c>
      <c r="W25" s="96"/>
      <c r="X25" s="96" t="s">
        <v>37</v>
      </c>
      <c r="Y25" s="96" t="s">
        <v>46</v>
      </c>
      <c r="Z25" s="96">
        <v>4</v>
      </c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76">
        <f t="shared" si="3"/>
        <v>4</v>
      </c>
      <c r="AO25" s="77">
        <f t="shared" si="4"/>
        <v>2</v>
      </c>
      <c r="AP25" s="77">
        <f t="shared" si="5"/>
        <v>14</v>
      </c>
    </row>
    <row r="26" spans="1:42" ht="17.25" hidden="1" customHeight="1">
      <c r="A26" s="158" t="s">
        <v>86</v>
      </c>
      <c r="B26" s="159" t="s">
        <v>88</v>
      </c>
      <c r="C26" s="160"/>
      <c r="D26" s="161"/>
      <c r="E26" s="161"/>
      <c r="F26" s="161"/>
      <c r="G26" s="161"/>
      <c r="H26" s="161"/>
      <c r="I26" s="161"/>
      <c r="J26" s="161"/>
      <c r="K26" s="162"/>
      <c r="L26" s="162"/>
      <c r="M26" s="161"/>
      <c r="N26" s="161"/>
      <c r="O26" s="161"/>
      <c r="P26" s="161"/>
      <c r="Q26" s="163"/>
      <c r="R26" s="161"/>
      <c r="S26" s="161"/>
      <c r="T26" s="161"/>
      <c r="U26" s="161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6" t="str">
        <f t="shared" si="3"/>
        <v>Нет оценок</v>
      </c>
      <c r="AO26" s="77">
        <f t="shared" si="4"/>
        <v>0</v>
      </c>
      <c r="AP26" s="77">
        <f t="shared" si="5"/>
        <v>0</v>
      </c>
    </row>
    <row r="27" spans="1:42" ht="16.5" customHeight="1">
      <c r="A27" s="139" t="s">
        <v>89</v>
      </c>
      <c r="B27" s="137" t="s">
        <v>90</v>
      </c>
      <c r="C27" s="95"/>
      <c r="D27" s="73">
        <v>4</v>
      </c>
      <c r="E27" s="73" t="s">
        <v>46</v>
      </c>
      <c r="F27" s="73">
        <v>4</v>
      </c>
      <c r="G27" s="73">
        <v>2</v>
      </c>
      <c r="H27" s="73">
        <v>2</v>
      </c>
      <c r="I27" s="73">
        <v>4</v>
      </c>
      <c r="J27" s="73" t="s">
        <v>46</v>
      </c>
      <c r="K27" s="73">
        <v>2</v>
      </c>
      <c r="L27" s="73">
        <v>3</v>
      </c>
      <c r="M27" s="73"/>
      <c r="N27" s="73" t="s">
        <v>46</v>
      </c>
      <c r="O27" s="73"/>
      <c r="P27" s="73"/>
      <c r="Q27" s="164">
        <v>4</v>
      </c>
      <c r="R27" s="73" t="s">
        <v>46</v>
      </c>
      <c r="S27" s="73">
        <v>4</v>
      </c>
      <c r="T27" s="73">
        <v>4</v>
      </c>
      <c r="U27" s="73"/>
      <c r="V27" s="73">
        <v>3</v>
      </c>
      <c r="W27" s="73"/>
      <c r="X27" s="73">
        <v>2</v>
      </c>
      <c r="Y27" s="73" t="s">
        <v>46</v>
      </c>
      <c r="Z27" s="73" t="s">
        <v>46</v>
      </c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6">
        <f t="shared" si="3"/>
        <v>3.1666666666666665</v>
      </c>
      <c r="AO27" s="77">
        <f t="shared" si="4"/>
        <v>0</v>
      </c>
      <c r="AP27" s="77">
        <f t="shared" si="5"/>
        <v>6</v>
      </c>
    </row>
    <row r="28" spans="1:42" ht="15.75" customHeight="1">
      <c r="A28" s="158" t="s">
        <v>91</v>
      </c>
      <c r="B28" s="137" t="s">
        <v>92</v>
      </c>
      <c r="C28" s="74"/>
      <c r="D28" s="70">
        <v>4</v>
      </c>
      <c r="E28" s="70" t="s">
        <v>34</v>
      </c>
      <c r="F28" s="110" t="s">
        <v>35</v>
      </c>
      <c r="G28" s="70" t="s">
        <v>34</v>
      </c>
      <c r="H28" s="70" t="s">
        <v>34</v>
      </c>
      <c r="I28" s="70">
        <v>3</v>
      </c>
      <c r="J28" s="70" t="s">
        <v>34</v>
      </c>
      <c r="K28" s="70">
        <v>5</v>
      </c>
      <c r="L28" s="70" t="s">
        <v>46</v>
      </c>
      <c r="M28" s="70" t="s">
        <v>34</v>
      </c>
      <c r="N28" s="70" t="s">
        <v>46</v>
      </c>
      <c r="O28" s="70"/>
      <c r="P28" s="70"/>
      <c r="Q28" s="138">
        <v>4</v>
      </c>
      <c r="R28" s="70" t="s">
        <v>46</v>
      </c>
      <c r="S28" s="70" t="s">
        <v>46</v>
      </c>
      <c r="T28" s="70">
        <v>4</v>
      </c>
      <c r="U28" s="70" t="s">
        <v>46</v>
      </c>
      <c r="V28" s="70">
        <v>5</v>
      </c>
      <c r="W28" s="70">
        <v>2</v>
      </c>
      <c r="X28" s="70" t="s">
        <v>37</v>
      </c>
      <c r="Y28" s="70" t="s">
        <v>46</v>
      </c>
      <c r="Z28" s="70">
        <v>3</v>
      </c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6">
        <f t="shared" si="3"/>
        <v>3.75</v>
      </c>
      <c r="AO28" s="77">
        <f t="shared" si="4"/>
        <v>0</v>
      </c>
      <c r="AP28" s="77">
        <f t="shared" si="5"/>
        <v>6</v>
      </c>
    </row>
    <row r="29" spans="1:42" ht="15.75">
      <c r="A29" s="165" t="s">
        <v>93</v>
      </c>
      <c r="B29" s="165" t="s">
        <v>94</v>
      </c>
      <c r="AN29" s="127">
        <f>IFERROR(AVERAGE(AN5:AN28),"")</f>
        <v>3.659676690175413</v>
      </c>
      <c r="AO29" s="128">
        <f>SUM(AO5:AO28)</f>
        <v>4</v>
      </c>
      <c r="AP29" s="128">
        <f>SUM(AP5:AP28)</f>
        <v>108</v>
      </c>
    </row>
    <row r="30" spans="1:42">
      <c r="A30" s="166" t="s">
        <v>95</v>
      </c>
      <c r="B30" s="166" t="s">
        <v>96</v>
      </c>
    </row>
    <row r="31" spans="1:42">
      <c r="A31" s="166" t="s">
        <v>97</v>
      </c>
      <c r="B31" s="166" t="s">
        <v>98</v>
      </c>
    </row>
    <row r="32" spans="1:42">
      <c r="A32" s="166" t="s">
        <v>99</v>
      </c>
      <c r="B32" s="166" t="s">
        <v>100</v>
      </c>
      <c r="O32" s="167"/>
      <c r="P32" t="s">
        <v>101</v>
      </c>
      <c r="Q32" t="s">
        <v>102</v>
      </c>
    </row>
    <row r="33" spans="1:2">
      <c r="A33" s="166" t="s">
        <v>103</v>
      </c>
      <c r="B33" s="166" t="s">
        <v>104</v>
      </c>
    </row>
    <row r="34" spans="1:2">
      <c r="A34" s="166" t="s">
        <v>105</v>
      </c>
      <c r="B34" s="166" t="s">
        <v>106</v>
      </c>
    </row>
    <row r="35" spans="1:2">
      <c r="A35" s="166" t="s">
        <v>107</v>
      </c>
      <c r="B35" s="166" t="s">
        <v>108</v>
      </c>
    </row>
    <row r="36" spans="1:2">
      <c r="A36" s="166" t="s">
        <v>109</v>
      </c>
      <c r="B36" s="166" t="s">
        <v>110</v>
      </c>
    </row>
    <row r="37" spans="1:2">
      <c r="A37" s="166" t="s">
        <v>111</v>
      </c>
      <c r="B37" s="166" t="s">
        <v>112</v>
      </c>
    </row>
    <row r="38" spans="1:2">
      <c r="A38" s="166" t="s">
        <v>113</v>
      </c>
      <c r="B38" s="166" t="s">
        <v>114</v>
      </c>
    </row>
    <row r="39" spans="1:2">
      <c r="A39" s="166" t="s">
        <v>115</v>
      </c>
      <c r="B39" s="166" t="s">
        <v>116</v>
      </c>
    </row>
    <row r="40" spans="1:2">
      <c r="A40" s="166" t="s">
        <v>117</v>
      </c>
      <c r="B40" s="166" t="s">
        <v>118</v>
      </c>
    </row>
    <row r="41" spans="1:2">
      <c r="A41" s="166" t="s">
        <v>119</v>
      </c>
      <c r="B41" s="166" t="s">
        <v>120</v>
      </c>
    </row>
    <row r="42" spans="1:2">
      <c r="A42" s="166" t="s">
        <v>121</v>
      </c>
      <c r="B42" s="166" t="s">
        <v>122</v>
      </c>
    </row>
    <row r="43" spans="1:2">
      <c r="A43" s="166" t="s">
        <v>123</v>
      </c>
      <c r="B43" s="166" t="s">
        <v>124</v>
      </c>
    </row>
    <row r="44" spans="1:2">
      <c r="A44" s="166" t="s">
        <v>125</v>
      </c>
      <c r="B44" s="166" t="s">
        <v>126</v>
      </c>
    </row>
    <row r="45" spans="1:2" ht="30">
      <c r="A45" s="166" t="s">
        <v>127</v>
      </c>
      <c r="B45" s="168" t="s">
        <v>128</v>
      </c>
    </row>
    <row r="46" spans="1:2">
      <c r="A46" s="166" t="s">
        <v>129</v>
      </c>
      <c r="B46" s="169" t="s">
        <v>130</v>
      </c>
    </row>
    <row r="47" spans="1:2">
      <c r="A47" s="166" t="s">
        <v>131</v>
      </c>
      <c r="B47" s="169" t="s">
        <v>132</v>
      </c>
    </row>
    <row r="48" spans="1:2">
      <c r="A48" s="166" t="s">
        <v>133</v>
      </c>
      <c r="B48" s="166" t="s">
        <v>134</v>
      </c>
    </row>
    <row r="49" spans="1:2">
      <c r="A49" s="166" t="s">
        <v>135</v>
      </c>
      <c r="B49" s="169" t="s">
        <v>136</v>
      </c>
    </row>
    <row r="50" spans="1:2">
      <c r="A50" s="166" t="s">
        <v>137</v>
      </c>
      <c r="B50" s="166" t="s">
        <v>138</v>
      </c>
    </row>
    <row r="51" spans="1:2">
      <c r="A51" s="166" t="s">
        <v>139</v>
      </c>
      <c r="B51" s="166" t="s">
        <v>140</v>
      </c>
    </row>
    <row r="52" spans="1:2">
      <c r="A52" s="166" t="s">
        <v>141</v>
      </c>
      <c r="B52" s="166" t="s">
        <v>142</v>
      </c>
    </row>
    <row r="53" spans="1:2">
      <c r="A53" s="166" t="s">
        <v>143</v>
      </c>
      <c r="B53" s="166" t="s">
        <v>144</v>
      </c>
    </row>
    <row r="54" spans="1:2">
      <c r="A54" s="166"/>
      <c r="B54" s="166"/>
    </row>
    <row r="55" spans="1:2">
      <c r="A55" s="166"/>
      <c r="B55" s="166"/>
    </row>
    <row r="56" spans="1:2">
      <c r="A56" s="166"/>
      <c r="B56" s="166"/>
    </row>
    <row r="57" spans="1:2">
      <c r="A57" s="166"/>
      <c r="B57" s="166"/>
    </row>
    <row r="58" spans="1:2">
      <c r="A58" s="166"/>
      <c r="B58" s="166"/>
    </row>
    <row r="59" spans="1:2">
      <c r="A59" s="166"/>
      <c r="B59" s="166"/>
    </row>
    <row r="60" spans="1:2">
      <c r="A60" s="166"/>
      <c r="B60" s="166"/>
    </row>
    <row r="61" spans="1:2">
      <c r="A61" s="166"/>
      <c r="B61" s="166"/>
    </row>
    <row r="62" spans="1:2">
      <c r="A62" s="166"/>
      <c r="B62" s="166"/>
    </row>
    <row r="63" spans="1:2">
      <c r="A63" s="166"/>
      <c r="B63" s="166"/>
    </row>
    <row r="64" spans="1:2">
      <c r="A64" s="166"/>
      <c r="B64" s="166"/>
    </row>
    <row r="65" spans="1:2">
      <c r="A65" s="166"/>
      <c r="B65" s="166"/>
    </row>
    <row r="66" spans="1:2">
      <c r="A66" s="166"/>
      <c r="B66" s="166"/>
    </row>
  </sheetData>
  <mergeCells count="6">
    <mergeCell ref="AO3:AP3"/>
    <mergeCell ref="A1:B1"/>
    <mergeCell ref="C1:AM1"/>
    <mergeCell ref="A2:B2"/>
    <mergeCell ref="C2:AM2"/>
    <mergeCell ref="A3:A4"/>
  </mergeCells>
  <conditionalFormatting sqref="AN5:AN29">
    <cfRule type="cellIs" dxfId="91" priority="2" operator="lessThan">
      <formula>3</formula>
    </cfRule>
  </conditionalFormatting>
  <conditionalFormatting sqref="AP5:AP28">
    <cfRule type="cellIs" dxfId="90" priority="1" operator="greaterThan">
      <formula>0</formula>
    </cfRule>
  </conditionalFormatting>
  <pageMargins left="0.70078740157480324" right="0.70078740157480324" top="0.75196850393700776" bottom="0.75196850393700776" header="0.3" footer="0.3"/>
  <pageSetup paperSize="9" orientation="landscape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</sheetPr>
  <dimension ref="A1:AT65"/>
  <sheetViews>
    <sheetView zoomScale="85"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customWidth="1"/>
    <col min="2" max="2" width="34.44140625" customWidth="1"/>
    <col min="3" max="41" width="2.77734375" customWidth="1"/>
    <col min="42" max="42" width="6.33203125" customWidth="1"/>
    <col min="43" max="43" width="10.6640625" customWidth="1"/>
    <col min="44" max="45" width="8.109375" customWidth="1"/>
  </cols>
  <sheetData>
    <row r="1" spans="1:45" ht="27.75">
      <c r="A1" s="1277" t="s">
        <v>38</v>
      </c>
      <c r="B1" s="1277"/>
      <c r="C1" s="1276" t="s">
        <v>10</v>
      </c>
      <c r="D1" s="1276"/>
      <c r="E1" s="1276"/>
      <c r="F1" s="1276"/>
      <c r="G1" s="1276"/>
      <c r="H1" s="1276"/>
      <c r="I1" s="1276"/>
      <c r="J1" s="1276"/>
      <c r="K1" s="1276"/>
      <c r="L1" s="1276"/>
      <c r="M1" s="1276"/>
      <c r="N1" s="1276"/>
      <c r="O1" s="1276"/>
      <c r="P1" s="1276"/>
      <c r="Q1" s="1276"/>
      <c r="R1" s="1276"/>
      <c r="S1" s="1276"/>
      <c r="T1" s="1276"/>
      <c r="U1" s="1276"/>
      <c r="V1" s="1276"/>
      <c r="W1" s="1276"/>
      <c r="X1" s="1276"/>
      <c r="Y1" s="1276"/>
      <c r="Z1" s="1276"/>
      <c r="AA1" s="1276"/>
      <c r="AB1" s="1276"/>
      <c r="AC1" s="1276"/>
      <c r="AD1" s="1276"/>
      <c r="AE1" s="1276"/>
      <c r="AF1" s="1276"/>
      <c r="AG1" s="1276"/>
      <c r="AH1" s="1276"/>
      <c r="AI1" s="1276"/>
      <c r="AJ1" s="1276"/>
      <c r="AK1" s="1276"/>
      <c r="AL1" s="1276"/>
      <c r="AM1" s="1276"/>
      <c r="AN1" s="1276"/>
      <c r="AO1" s="1276"/>
      <c r="AP1" s="29"/>
    </row>
    <row r="2" spans="1:45" ht="27.75">
      <c r="A2" s="1277" t="s">
        <v>39</v>
      </c>
      <c r="B2" s="1277"/>
      <c r="C2" s="1277" t="s">
        <v>145</v>
      </c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1277"/>
      <c r="AD2" s="1277"/>
      <c r="AE2" s="1277"/>
      <c r="AF2" s="1277"/>
      <c r="AG2" s="1277"/>
      <c r="AH2" s="1277"/>
      <c r="AI2" s="1277"/>
      <c r="AJ2" s="1277"/>
      <c r="AK2" s="1277"/>
      <c r="AL2" s="1277"/>
      <c r="AM2" s="1277"/>
      <c r="AN2" s="1277"/>
      <c r="AO2" s="1277"/>
      <c r="AP2" s="31"/>
      <c r="AQ2" s="32"/>
      <c r="AR2" s="32"/>
      <c r="AS2" s="32"/>
    </row>
    <row r="3" spans="1:45" ht="15.75">
      <c r="A3" s="1281" t="s">
        <v>41</v>
      </c>
      <c r="B3" s="129" t="s">
        <v>42</v>
      </c>
      <c r="C3" s="1283" t="s">
        <v>146</v>
      </c>
      <c r="D3" s="1284"/>
      <c r="E3" s="1284"/>
      <c r="F3" s="1284"/>
      <c r="G3" s="1285" t="s">
        <v>147</v>
      </c>
      <c r="H3" s="1286"/>
      <c r="I3" s="1287"/>
      <c r="J3" s="1288" t="s">
        <v>148</v>
      </c>
      <c r="K3" s="1288"/>
      <c r="L3" s="1289"/>
      <c r="M3" s="1290" t="s">
        <v>149</v>
      </c>
      <c r="N3" s="1290"/>
      <c r="O3" s="1290"/>
      <c r="P3" s="1290"/>
      <c r="Q3" s="1290"/>
      <c r="R3" s="1290"/>
      <c r="S3" s="1290"/>
      <c r="T3" s="1290"/>
      <c r="U3" s="1290"/>
      <c r="V3" s="1290"/>
      <c r="W3" s="1290"/>
      <c r="X3" s="1290"/>
      <c r="Y3" s="1291"/>
      <c r="Z3" s="1292" t="s">
        <v>150</v>
      </c>
      <c r="AA3" s="1292"/>
      <c r="AB3" s="1292"/>
      <c r="AC3" s="1293"/>
      <c r="AD3" s="1294" t="s">
        <v>151</v>
      </c>
      <c r="AE3" s="1294"/>
      <c r="AF3" s="1295"/>
      <c r="AG3" s="170" t="s">
        <v>152</v>
      </c>
      <c r="AH3" s="1296" t="s">
        <v>153</v>
      </c>
      <c r="AI3" s="1296"/>
      <c r="AJ3" s="1296"/>
      <c r="AK3" s="1297"/>
      <c r="AL3" s="171"/>
      <c r="AM3" s="171"/>
      <c r="AN3" s="171"/>
      <c r="AO3" s="172"/>
      <c r="AP3" s="173"/>
      <c r="AQ3" s="45"/>
      <c r="AR3" s="1278" t="s">
        <v>0</v>
      </c>
      <c r="AS3" s="1279"/>
    </row>
    <row r="4" spans="1:45" ht="15.75">
      <c r="A4" s="1282"/>
      <c r="B4" s="132" t="s">
        <v>43</v>
      </c>
      <c r="C4" s="174">
        <v>2</v>
      </c>
      <c r="D4" s="1298">
        <v>5</v>
      </c>
      <c r="E4" s="1299"/>
      <c r="F4" s="175">
        <v>26</v>
      </c>
      <c r="G4" s="1300">
        <v>28</v>
      </c>
      <c r="H4" s="1299"/>
      <c r="I4" s="177">
        <v>29</v>
      </c>
      <c r="J4" s="176">
        <v>6</v>
      </c>
      <c r="K4" s="178">
        <v>7</v>
      </c>
      <c r="L4" s="179" t="s">
        <v>154</v>
      </c>
      <c r="M4" s="176">
        <v>5</v>
      </c>
      <c r="N4" s="180">
        <v>6</v>
      </c>
      <c r="O4" s="180">
        <v>6</v>
      </c>
      <c r="P4" s="181">
        <v>8</v>
      </c>
      <c r="Q4" s="181">
        <v>8</v>
      </c>
      <c r="R4" s="181">
        <v>10</v>
      </c>
      <c r="S4" s="180">
        <v>11</v>
      </c>
      <c r="T4" s="178">
        <v>16</v>
      </c>
      <c r="U4" s="180">
        <v>17</v>
      </c>
      <c r="V4" s="180">
        <v>17</v>
      </c>
      <c r="W4" s="181">
        <v>22</v>
      </c>
      <c r="X4" s="178">
        <v>23</v>
      </c>
      <c r="Y4" s="177">
        <v>23</v>
      </c>
      <c r="Z4" s="182">
        <v>16</v>
      </c>
      <c r="AA4" s="181">
        <v>21</v>
      </c>
      <c r="AB4" s="180">
        <v>23</v>
      </c>
      <c r="AC4" s="183">
        <v>30</v>
      </c>
      <c r="AD4" s="184">
        <v>4</v>
      </c>
      <c r="AE4" s="178">
        <v>7</v>
      </c>
      <c r="AF4" s="177">
        <v>7</v>
      </c>
      <c r="AG4" s="185">
        <v>11</v>
      </c>
      <c r="AH4" s="176">
        <v>1</v>
      </c>
      <c r="AI4" s="178">
        <v>6</v>
      </c>
      <c r="AJ4" s="178"/>
      <c r="AK4" s="178"/>
      <c r="AL4" s="178"/>
      <c r="AM4" s="178"/>
      <c r="AN4" s="178"/>
      <c r="AO4" s="175"/>
      <c r="AP4" s="186"/>
      <c r="AQ4" s="45" t="s">
        <v>33</v>
      </c>
      <c r="AR4" s="60" t="s">
        <v>5</v>
      </c>
      <c r="AS4" s="60" t="s">
        <v>6</v>
      </c>
    </row>
    <row r="5" spans="1:45" ht="15.75" customHeight="1">
      <c r="A5" s="136" t="s">
        <v>44</v>
      </c>
      <c r="B5" s="137" t="s">
        <v>45</v>
      </c>
      <c r="C5" s="187"/>
      <c r="D5" s="188">
        <v>4</v>
      </c>
      <c r="E5" s="189"/>
      <c r="F5" s="190" t="s">
        <v>46</v>
      </c>
      <c r="G5" s="191" t="s">
        <v>155</v>
      </c>
      <c r="H5" s="189"/>
      <c r="I5" s="192" t="s">
        <v>46</v>
      </c>
      <c r="J5" s="187"/>
      <c r="K5" s="189"/>
      <c r="L5" s="193">
        <v>2</v>
      </c>
      <c r="M5" s="194">
        <v>3</v>
      </c>
      <c r="N5" s="188">
        <v>3</v>
      </c>
      <c r="O5" s="188">
        <v>3</v>
      </c>
      <c r="P5" s="195">
        <v>3</v>
      </c>
      <c r="Q5" s="195">
        <v>3</v>
      </c>
      <c r="R5" s="188">
        <v>3</v>
      </c>
      <c r="S5" s="196"/>
      <c r="T5" s="189"/>
      <c r="U5" s="196" t="s">
        <v>46</v>
      </c>
      <c r="V5" s="196" t="s">
        <v>46</v>
      </c>
      <c r="W5" s="195" t="s">
        <v>46</v>
      </c>
      <c r="X5" s="189" t="s">
        <v>46</v>
      </c>
      <c r="Y5" s="192"/>
      <c r="Z5" s="197"/>
      <c r="AA5" s="195" t="s">
        <v>46</v>
      </c>
      <c r="AB5" s="196" t="s">
        <v>46</v>
      </c>
      <c r="AC5" s="198"/>
      <c r="AD5" s="199"/>
      <c r="AE5" s="200"/>
      <c r="AF5" s="192"/>
      <c r="AG5" s="201" t="s">
        <v>46</v>
      </c>
      <c r="AH5" s="187">
        <v>2</v>
      </c>
      <c r="AI5" s="189" t="s">
        <v>46</v>
      </c>
      <c r="AJ5" s="189"/>
      <c r="AK5" s="189"/>
      <c r="AL5" s="189"/>
      <c r="AM5" s="189"/>
      <c r="AN5" s="189"/>
      <c r="AO5" s="190"/>
      <c r="AP5" s="202"/>
      <c r="AQ5" s="76">
        <f t="shared" ref="AQ5:AQ9" si="0">IFERROR(AVERAGE(C5:AP5),"Нет оценок")</f>
        <v>2.8888888888888888</v>
      </c>
      <c r="AR5" s="77">
        <f t="shared" ref="AR5:AR9" si="1">COUNTIF(C5:AO5,"н/у")</f>
        <v>0</v>
      </c>
      <c r="AS5" s="77">
        <f t="shared" ref="AS5:AS9" si="2">COUNTIF(C5:AP5,"н")</f>
        <v>10</v>
      </c>
    </row>
    <row r="6" spans="1:45" ht="15.75" customHeight="1">
      <c r="A6" s="139" t="s">
        <v>49</v>
      </c>
      <c r="B6" s="203" t="s">
        <v>50</v>
      </c>
      <c r="C6" s="187"/>
      <c r="D6" s="189">
        <v>4</v>
      </c>
      <c r="E6" s="189"/>
      <c r="F6" s="190"/>
      <c r="G6" s="191" t="s">
        <v>156</v>
      </c>
      <c r="H6" s="189">
        <v>5</v>
      </c>
      <c r="I6" s="192"/>
      <c r="J6" s="187"/>
      <c r="K6" s="189"/>
      <c r="L6" s="193">
        <v>5</v>
      </c>
      <c r="M6" s="187">
        <v>5</v>
      </c>
      <c r="N6" s="188">
        <v>3</v>
      </c>
      <c r="O6" s="188">
        <v>3</v>
      </c>
      <c r="P6" s="195">
        <v>3</v>
      </c>
      <c r="Q6" s="195">
        <v>3</v>
      </c>
      <c r="R6" s="188">
        <v>3</v>
      </c>
      <c r="S6" s="196"/>
      <c r="T6" s="189"/>
      <c r="U6" s="196" t="s">
        <v>46</v>
      </c>
      <c r="V6" s="196" t="s">
        <v>46</v>
      </c>
      <c r="W6" s="195"/>
      <c r="X6" s="189" t="s">
        <v>46</v>
      </c>
      <c r="Y6" s="192"/>
      <c r="Z6" s="197" t="s">
        <v>46</v>
      </c>
      <c r="AA6" s="195"/>
      <c r="AB6" s="196" t="s">
        <v>46</v>
      </c>
      <c r="AC6" s="198" t="s">
        <v>46</v>
      </c>
      <c r="AD6" s="199" t="s">
        <v>46</v>
      </c>
      <c r="AE6" s="189" t="s">
        <v>46</v>
      </c>
      <c r="AF6" s="192" t="s">
        <v>46</v>
      </c>
      <c r="AG6" s="201">
        <v>5</v>
      </c>
      <c r="AH6" s="187">
        <v>5</v>
      </c>
      <c r="AI6" s="189">
        <v>5</v>
      </c>
      <c r="AJ6" s="189"/>
      <c r="AK6" s="189"/>
      <c r="AL6" s="189"/>
      <c r="AM6" s="189"/>
      <c r="AN6" s="189"/>
      <c r="AO6" s="190"/>
      <c r="AP6" s="202"/>
      <c r="AQ6" s="76">
        <f t="shared" si="0"/>
        <v>4.083333333333333</v>
      </c>
      <c r="AR6" s="77">
        <f t="shared" si="1"/>
        <v>0</v>
      </c>
      <c r="AS6" s="77">
        <f t="shared" si="2"/>
        <v>9</v>
      </c>
    </row>
    <row r="7" spans="1:45" ht="15.75" customHeight="1">
      <c r="A7" s="204" t="s">
        <v>51</v>
      </c>
      <c r="B7" s="137" t="s">
        <v>52</v>
      </c>
      <c r="C7" s="187">
        <v>5</v>
      </c>
      <c r="D7" s="189">
        <v>4</v>
      </c>
      <c r="E7" s="189">
        <v>5</v>
      </c>
      <c r="F7" s="190">
        <v>5</v>
      </c>
      <c r="G7" s="191" t="s">
        <v>157</v>
      </c>
      <c r="H7" s="189">
        <v>5</v>
      </c>
      <c r="I7" s="192"/>
      <c r="J7" s="187"/>
      <c r="K7" s="189"/>
      <c r="L7" s="193">
        <v>4</v>
      </c>
      <c r="M7" s="187">
        <v>5</v>
      </c>
      <c r="N7" s="196">
        <v>4</v>
      </c>
      <c r="O7" s="196">
        <v>4</v>
      </c>
      <c r="P7" s="195">
        <v>5</v>
      </c>
      <c r="Q7" s="195">
        <v>5</v>
      </c>
      <c r="R7" s="195">
        <v>5</v>
      </c>
      <c r="S7" s="196"/>
      <c r="T7" s="189">
        <v>4</v>
      </c>
      <c r="U7" s="196"/>
      <c r="V7" s="196"/>
      <c r="W7" s="195">
        <v>4</v>
      </c>
      <c r="X7" s="189"/>
      <c r="Y7" s="192"/>
      <c r="Z7" s="197">
        <v>4</v>
      </c>
      <c r="AA7" s="195">
        <v>4</v>
      </c>
      <c r="AB7" s="196"/>
      <c r="AC7" s="198"/>
      <c r="AD7" s="199"/>
      <c r="AE7" s="189"/>
      <c r="AF7" s="192"/>
      <c r="AG7" s="201">
        <v>5</v>
      </c>
      <c r="AH7" s="187">
        <v>4</v>
      </c>
      <c r="AI7" s="189">
        <v>2</v>
      </c>
      <c r="AJ7" s="189"/>
      <c r="AK7" s="189"/>
      <c r="AL7" s="189"/>
      <c r="AM7" s="189"/>
      <c r="AN7" s="189"/>
      <c r="AO7" s="190"/>
      <c r="AP7" s="202"/>
      <c r="AQ7" s="76">
        <f t="shared" si="0"/>
        <v>4.3684210526315788</v>
      </c>
      <c r="AR7" s="77">
        <f t="shared" si="1"/>
        <v>0</v>
      </c>
      <c r="AS7" s="77">
        <f t="shared" si="2"/>
        <v>0</v>
      </c>
    </row>
    <row r="8" spans="1:45" ht="15.75" customHeight="1">
      <c r="A8" s="144" t="s">
        <v>53</v>
      </c>
      <c r="B8" s="137" t="s">
        <v>54</v>
      </c>
      <c r="C8" s="187">
        <v>5</v>
      </c>
      <c r="D8" s="188">
        <v>4</v>
      </c>
      <c r="E8" s="189"/>
      <c r="F8" s="190"/>
      <c r="G8" s="191" t="s">
        <v>158</v>
      </c>
      <c r="H8" s="189">
        <v>4</v>
      </c>
      <c r="I8" s="205"/>
      <c r="J8" s="187"/>
      <c r="K8" s="189"/>
      <c r="L8" s="193">
        <v>5</v>
      </c>
      <c r="M8" s="187">
        <v>5</v>
      </c>
      <c r="N8" s="196">
        <v>3</v>
      </c>
      <c r="O8" s="188">
        <v>3</v>
      </c>
      <c r="P8" s="195">
        <v>3</v>
      </c>
      <c r="Q8" s="195">
        <v>3</v>
      </c>
      <c r="R8" s="195">
        <v>3</v>
      </c>
      <c r="S8" s="196"/>
      <c r="T8" s="189"/>
      <c r="U8" s="196"/>
      <c r="V8" s="196"/>
      <c r="W8" s="195" t="s">
        <v>46</v>
      </c>
      <c r="X8" s="189" t="s">
        <v>46</v>
      </c>
      <c r="Y8" s="192"/>
      <c r="Z8" s="197" t="s">
        <v>46</v>
      </c>
      <c r="AA8" s="195" t="s">
        <v>46</v>
      </c>
      <c r="AB8" s="196"/>
      <c r="AC8" s="198"/>
      <c r="AD8" s="199"/>
      <c r="AE8" s="189" t="s">
        <v>46</v>
      </c>
      <c r="AF8" s="192" t="s">
        <v>46</v>
      </c>
      <c r="AG8" s="201">
        <v>5</v>
      </c>
      <c r="AH8" s="187">
        <v>5</v>
      </c>
      <c r="AI8" s="189">
        <v>2</v>
      </c>
      <c r="AJ8" s="189"/>
      <c r="AK8" s="189"/>
      <c r="AL8" s="189"/>
      <c r="AM8" s="189"/>
      <c r="AN8" s="189"/>
      <c r="AO8" s="190"/>
      <c r="AP8" s="202"/>
      <c r="AQ8" s="76">
        <f t="shared" si="0"/>
        <v>3.8461538461538463</v>
      </c>
      <c r="AR8" s="77">
        <f t="shared" si="1"/>
        <v>0</v>
      </c>
      <c r="AS8" s="77">
        <f t="shared" si="2"/>
        <v>6</v>
      </c>
    </row>
    <row r="9" spans="1:45" ht="15.75" customHeight="1">
      <c r="A9" s="146" t="s">
        <v>55</v>
      </c>
      <c r="B9" s="147" t="s">
        <v>56</v>
      </c>
      <c r="C9" s="206"/>
      <c r="D9" s="207">
        <v>5</v>
      </c>
      <c r="E9" s="207">
        <v>5</v>
      </c>
      <c r="F9" s="208" t="s">
        <v>101</v>
      </c>
      <c r="G9" s="209" t="s">
        <v>159</v>
      </c>
      <c r="H9" s="207">
        <v>5</v>
      </c>
      <c r="I9" s="210">
        <v>3</v>
      </c>
      <c r="J9" s="206"/>
      <c r="K9" s="207"/>
      <c r="L9" s="211">
        <v>3</v>
      </c>
      <c r="M9" s="206">
        <v>5</v>
      </c>
      <c r="N9" s="212">
        <v>4</v>
      </c>
      <c r="O9" s="212">
        <v>4</v>
      </c>
      <c r="P9" s="213">
        <v>3</v>
      </c>
      <c r="Q9" s="213">
        <v>3</v>
      </c>
      <c r="R9" s="213">
        <v>3</v>
      </c>
      <c r="S9" s="212"/>
      <c r="T9" s="207">
        <v>5</v>
      </c>
      <c r="U9" s="212"/>
      <c r="V9" s="212"/>
      <c r="W9" s="213" t="s">
        <v>46</v>
      </c>
      <c r="X9" s="207"/>
      <c r="Y9" s="214"/>
      <c r="Z9" s="215"/>
      <c r="AA9" s="213"/>
      <c r="AB9" s="212"/>
      <c r="AC9" s="216"/>
      <c r="AD9" s="217"/>
      <c r="AE9" s="218" t="s">
        <v>46</v>
      </c>
      <c r="AF9" s="214" t="s">
        <v>46</v>
      </c>
      <c r="AG9" s="219">
        <v>2</v>
      </c>
      <c r="AH9" s="206">
        <v>2</v>
      </c>
      <c r="AI9" s="207">
        <v>2</v>
      </c>
      <c r="AJ9" s="207"/>
      <c r="AK9" s="207"/>
      <c r="AL9" s="207"/>
      <c r="AM9" s="207"/>
      <c r="AN9" s="207"/>
      <c r="AO9" s="208"/>
      <c r="AP9" s="220"/>
      <c r="AQ9" s="76">
        <f t="shared" si="0"/>
        <v>3.6</v>
      </c>
      <c r="AR9" s="77">
        <f t="shared" si="1"/>
        <v>0</v>
      </c>
      <c r="AS9" s="77">
        <f t="shared" si="2"/>
        <v>3</v>
      </c>
    </row>
    <row r="10" spans="1:45" ht="15.75" customHeight="1">
      <c r="A10" s="149" t="s">
        <v>57</v>
      </c>
      <c r="B10" s="150" t="s">
        <v>58</v>
      </c>
      <c r="C10" s="221">
        <v>5</v>
      </c>
      <c r="D10" s="200">
        <v>5</v>
      </c>
      <c r="E10" s="222">
        <v>5</v>
      </c>
      <c r="F10" s="223">
        <v>5</v>
      </c>
      <c r="G10" s="224" t="s">
        <v>160</v>
      </c>
      <c r="H10" s="200">
        <v>5</v>
      </c>
      <c r="I10" s="225"/>
      <c r="J10" s="221"/>
      <c r="K10" s="200"/>
      <c r="L10" s="226">
        <v>5</v>
      </c>
      <c r="M10" s="221">
        <v>5</v>
      </c>
      <c r="N10" s="227">
        <v>4</v>
      </c>
      <c r="O10" s="227">
        <v>4</v>
      </c>
      <c r="P10" s="228">
        <v>5</v>
      </c>
      <c r="Q10" s="228">
        <v>5</v>
      </c>
      <c r="R10" s="228">
        <v>5</v>
      </c>
      <c r="S10" s="227">
        <v>5</v>
      </c>
      <c r="T10" s="200">
        <v>5</v>
      </c>
      <c r="U10" s="227">
        <v>5</v>
      </c>
      <c r="V10" s="227">
        <v>5</v>
      </c>
      <c r="W10" s="228">
        <v>5</v>
      </c>
      <c r="X10" s="200"/>
      <c r="Y10" s="225"/>
      <c r="Z10" s="229">
        <v>5</v>
      </c>
      <c r="AA10" s="228">
        <v>5</v>
      </c>
      <c r="AB10" s="227">
        <v>5</v>
      </c>
      <c r="AC10" s="230">
        <v>5</v>
      </c>
      <c r="AD10" s="231">
        <v>5</v>
      </c>
      <c r="AE10" s="232"/>
      <c r="AF10" s="225"/>
      <c r="AG10" s="233">
        <v>5</v>
      </c>
      <c r="AH10" s="221">
        <v>5</v>
      </c>
      <c r="AI10" s="200">
        <v>5</v>
      </c>
      <c r="AJ10" s="200"/>
      <c r="AK10" s="200"/>
      <c r="AL10" s="200"/>
      <c r="AM10" s="200"/>
      <c r="AN10" s="200"/>
      <c r="AO10" s="234"/>
      <c r="AP10" s="235"/>
      <c r="AQ10" s="76">
        <f t="shared" ref="AQ10:AQ28" si="3">IFERROR(AVERAGE(C10:AP10),"Нет оценок")</f>
        <v>4.92</v>
      </c>
      <c r="AR10" s="77">
        <f t="shared" ref="AR10:AR28" si="4">COUNTIF(C10:AO10,"н/у")</f>
        <v>0</v>
      </c>
      <c r="AS10" s="77">
        <f t="shared" ref="AS10:AS28" si="5">COUNTIF(C10:AP10,"н")</f>
        <v>0</v>
      </c>
    </row>
    <row r="11" spans="1:45" ht="15.75" customHeight="1">
      <c r="A11" s="144" t="s">
        <v>59</v>
      </c>
      <c r="B11" s="137" t="s">
        <v>60</v>
      </c>
      <c r="C11" s="187"/>
      <c r="D11" s="236">
        <v>4</v>
      </c>
      <c r="E11" s="189"/>
      <c r="F11" s="236">
        <v>3</v>
      </c>
      <c r="G11" s="191" t="s">
        <v>161</v>
      </c>
      <c r="H11" s="189">
        <v>5</v>
      </c>
      <c r="I11" s="192"/>
      <c r="J11" s="187"/>
      <c r="K11" s="189"/>
      <c r="L11" s="193">
        <v>4</v>
      </c>
      <c r="M11" s="187">
        <v>5</v>
      </c>
      <c r="N11" s="196">
        <v>3</v>
      </c>
      <c r="O11" s="196">
        <v>3</v>
      </c>
      <c r="P11" s="195">
        <v>3</v>
      </c>
      <c r="Q11" s="195">
        <v>3</v>
      </c>
      <c r="R11" s="195">
        <v>3</v>
      </c>
      <c r="S11" s="196"/>
      <c r="T11" s="189">
        <v>4</v>
      </c>
      <c r="U11" s="196"/>
      <c r="V11" s="196"/>
      <c r="W11" s="195"/>
      <c r="X11" s="189" t="s">
        <v>46</v>
      </c>
      <c r="Y11" s="192"/>
      <c r="Z11" s="197" t="s">
        <v>46</v>
      </c>
      <c r="AA11" s="195"/>
      <c r="AB11" s="196"/>
      <c r="AC11" s="198"/>
      <c r="AD11" s="199"/>
      <c r="AE11" s="189" t="s">
        <v>46</v>
      </c>
      <c r="AF11" s="192" t="s">
        <v>46</v>
      </c>
      <c r="AG11" s="201">
        <v>5</v>
      </c>
      <c r="AH11" s="187">
        <v>3</v>
      </c>
      <c r="AI11" s="189">
        <v>2</v>
      </c>
      <c r="AJ11" s="189"/>
      <c r="AK11" s="189"/>
      <c r="AL11" s="189"/>
      <c r="AM11" s="189"/>
      <c r="AN11" s="189"/>
      <c r="AO11" s="190"/>
      <c r="AP11" s="237"/>
      <c r="AQ11" s="76">
        <f t="shared" si="3"/>
        <v>3.5714285714285716</v>
      </c>
      <c r="AR11" s="77">
        <f t="shared" si="4"/>
        <v>0</v>
      </c>
      <c r="AS11" s="77">
        <f t="shared" si="5"/>
        <v>4</v>
      </c>
    </row>
    <row r="12" spans="1:45" ht="15.75" customHeight="1">
      <c r="A12" s="144" t="s">
        <v>61</v>
      </c>
      <c r="B12" s="137" t="s">
        <v>62</v>
      </c>
      <c r="C12" s="187"/>
      <c r="D12" s="189">
        <v>2</v>
      </c>
      <c r="E12" s="200"/>
      <c r="F12" s="234" t="s">
        <v>101</v>
      </c>
      <c r="G12" s="191" t="s">
        <v>162</v>
      </c>
      <c r="H12" s="189"/>
      <c r="I12" s="192"/>
      <c r="J12" s="187"/>
      <c r="K12" s="189"/>
      <c r="L12" s="193">
        <v>3</v>
      </c>
      <c r="M12" s="187">
        <v>5</v>
      </c>
      <c r="N12" s="188">
        <v>3</v>
      </c>
      <c r="O12" s="188">
        <v>3</v>
      </c>
      <c r="P12" s="195">
        <v>4</v>
      </c>
      <c r="Q12" s="195">
        <v>3</v>
      </c>
      <c r="R12" s="195">
        <v>4</v>
      </c>
      <c r="S12" s="196">
        <v>4</v>
      </c>
      <c r="T12" s="189" t="s">
        <v>101</v>
      </c>
      <c r="U12" s="196">
        <v>3</v>
      </c>
      <c r="V12" s="196">
        <v>4</v>
      </c>
      <c r="W12" s="195">
        <v>4</v>
      </c>
      <c r="X12" s="189"/>
      <c r="Y12" s="192"/>
      <c r="Z12" s="197">
        <v>4</v>
      </c>
      <c r="AA12" s="195">
        <v>4</v>
      </c>
      <c r="AB12" s="196">
        <v>3</v>
      </c>
      <c r="AC12" s="198">
        <v>4</v>
      </c>
      <c r="AD12" s="199">
        <v>3</v>
      </c>
      <c r="AE12" s="189"/>
      <c r="AF12" s="192"/>
      <c r="AG12" s="201">
        <v>2</v>
      </c>
      <c r="AH12" s="187">
        <v>2</v>
      </c>
      <c r="AI12" s="189">
        <v>2</v>
      </c>
      <c r="AJ12" s="189"/>
      <c r="AK12" s="189"/>
      <c r="AL12" s="189"/>
      <c r="AM12" s="189"/>
      <c r="AN12" s="189"/>
      <c r="AO12" s="190"/>
      <c r="AP12" s="237"/>
      <c r="AQ12" s="76">
        <f t="shared" si="3"/>
        <v>3.3</v>
      </c>
      <c r="AR12" s="77">
        <f t="shared" si="4"/>
        <v>0</v>
      </c>
      <c r="AS12" s="77">
        <f t="shared" si="5"/>
        <v>0</v>
      </c>
    </row>
    <row r="13" spans="1:45" ht="15.75" customHeight="1">
      <c r="A13" s="144" t="s">
        <v>63</v>
      </c>
      <c r="B13" s="150" t="s">
        <v>64</v>
      </c>
      <c r="C13" s="221">
        <v>5</v>
      </c>
      <c r="D13" s="200">
        <v>2</v>
      </c>
      <c r="E13" s="200"/>
      <c r="F13" s="234">
        <v>2</v>
      </c>
      <c r="G13" s="224" t="s">
        <v>163</v>
      </c>
      <c r="H13" s="200">
        <v>5</v>
      </c>
      <c r="I13" s="225" t="s">
        <v>46</v>
      </c>
      <c r="J13" s="221"/>
      <c r="K13" s="238"/>
      <c r="L13" s="226">
        <v>5</v>
      </c>
      <c r="M13" s="221" t="s">
        <v>46</v>
      </c>
      <c r="N13" s="200">
        <v>2</v>
      </c>
      <c r="O13" s="200">
        <v>2</v>
      </c>
      <c r="P13" s="228" t="s">
        <v>46</v>
      </c>
      <c r="Q13" s="228" t="s">
        <v>46</v>
      </c>
      <c r="R13" s="228"/>
      <c r="S13" s="227" t="s">
        <v>46</v>
      </c>
      <c r="T13" s="200" t="s">
        <v>46</v>
      </c>
      <c r="U13" s="227"/>
      <c r="V13" s="227" t="s">
        <v>46</v>
      </c>
      <c r="W13" s="228"/>
      <c r="X13" s="200" t="s">
        <v>46</v>
      </c>
      <c r="Y13" s="225"/>
      <c r="Z13" s="229" t="s">
        <v>46</v>
      </c>
      <c r="AA13" s="228" t="s">
        <v>46</v>
      </c>
      <c r="AB13" s="227"/>
      <c r="AC13" s="230"/>
      <c r="AD13" s="231"/>
      <c r="AE13" s="189" t="s">
        <v>46</v>
      </c>
      <c r="AF13" s="225" t="s">
        <v>46</v>
      </c>
      <c r="AG13" s="233">
        <v>2</v>
      </c>
      <c r="AH13" s="221" t="s">
        <v>46</v>
      </c>
      <c r="AI13" s="200">
        <v>2</v>
      </c>
      <c r="AJ13" s="200"/>
      <c r="AK13" s="200"/>
      <c r="AL13" s="200"/>
      <c r="AM13" s="200"/>
      <c r="AN13" s="200"/>
      <c r="AO13" s="234"/>
      <c r="AP13" s="235"/>
      <c r="AQ13" s="76">
        <f t="shared" si="3"/>
        <v>3</v>
      </c>
      <c r="AR13" s="77">
        <f t="shared" si="4"/>
        <v>0</v>
      </c>
      <c r="AS13" s="77">
        <f t="shared" si="5"/>
        <v>13</v>
      </c>
    </row>
    <row r="14" spans="1:45" ht="15.75" customHeight="1">
      <c r="A14" s="146" t="s">
        <v>65</v>
      </c>
      <c r="B14" s="151" t="s">
        <v>66</v>
      </c>
      <c r="C14" s="239"/>
      <c r="D14" s="218">
        <v>2</v>
      </c>
      <c r="E14" s="218">
        <v>5</v>
      </c>
      <c r="F14" s="240" t="s">
        <v>101</v>
      </c>
      <c r="G14" s="241" t="s">
        <v>164</v>
      </c>
      <c r="H14" s="218">
        <v>5</v>
      </c>
      <c r="I14" s="242"/>
      <c r="J14" s="239"/>
      <c r="K14" s="218"/>
      <c r="L14" s="243">
        <v>3</v>
      </c>
      <c r="M14" s="239">
        <v>5</v>
      </c>
      <c r="N14" s="244">
        <v>3</v>
      </c>
      <c r="O14" s="244">
        <v>3</v>
      </c>
      <c r="P14" s="245">
        <v>3</v>
      </c>
      <c r="Q14" s="245">
        <v>3</v>
      </c>
      <c r="R14" s="245">
        <v>3</v>
      </c>
      <c r="S14" s="244"/>
      <c r="T14" s="218" t="s">
        <v>101</v>
      </c>
      <c r="U14" s="244"/>
      <c r="V14" s="244"/>
      <c r="W14" s="245"/>
      <c r="X14" s="218"/>
      <c r="Y14" s="242"/>
      <c r="Z14" s="246"/>
      <c r="AA14" s="245"/>
      <c r="AB14" s="244"/>
      <c r="AC14" s="247"/>
      <c r="AD14" s="248"/>
      <c r="AE14" s="218"/>
      <c r="AF14" s="242"/>
      <c r="AG14" s="249">
        <v>2</v>
      </c>
      <c r="AH14" s="239">
        <v>2</v>
      </c>
      <c r="AI14" s="218">
        <v>2</v>
      </c>
      <c r="AJ14" s="218"/>
      <c r="AK14" s="218"/>
      <c r="AL14" s="218"/>
      <c r="AM14" s="218"/>
      <c r="AN14" s="218"/>
      <c r="AO14" s="240"/>
      <c r="AP14" s="250"/>
      <c r="AQ14" s="76">
        <f t="shared" si="3"/>
        <v>3.1538461538461537</v>
      </c>
      <c r="AR14" s="77">
        <f t="shared" si="4"/>
        <v>0</v>
      </c>
      <c r="AS14" s="77">
        <f t="shared" si="5"/>
        <v>0</v>
      </c>
    </row>
    <row r="15" spans="1:45" ht="15.75" customHeight="1">
      <c r="A15" s="149" t="s">
        <v>67</v>
      </c>
      <c r="B15" s="150" t="s">
        <v>68</v>
      </c>
      <c r="C15" s="221">
        <v>5</v>
      </c>
      <c r="D15" s="200">
        <v>3</v>
      </c>
      <c r="E15" s="200">
        <v>3</v>
      </c>
      <c r="F15" s="234" t="s">
        <v>101</v>
      </c>
      <c r="G15" s="224" t="s">
        <v>165</v>
      </c>
      <c r="H15" s="200">
        <v>5</v>
      </c>
      <c r="I15" s="225"/>
      <c r="J15" s="221"/>
      <c r="K15" s="200"/>
      <c r="L15" s="226">
        <v>5</v>
      </c>
      <c r="M15" s="221">
        <v>5</v>
      </c>
      <c r="N15" s="227">
        <v>4</v>
      </c>
      <c r="O15" s="227">
        <v>4</v>
      </c>
      <c r="P15" s="228">
        <v>5</v>
      </c>
      <c r="Q15" s="228">
        <v>5</v>
      </c>
      <c r="R15" s="228">
        <v>5</v>
      </c>
      <c r="S15" s="227"/>
      <c r="T15" s="200">
        <v>5</v>
      </c>
      <c r="U15" s="227"/>
      <c r="V15" s="227"/>
      <c r="W15" s="228"/>
      <c r="X15" s="200" t="s">
        <v>46</v>
      </c>
      <c r="Y15" s="225"/>
      <c r="Z15" s="229"/>
      <c r="AA15" s="228"/>
      <c r="AB15" s="227"/>
      <c r="AC15" s="230"/>
      <c r="AD15" s="231"/>
      <c r="AE15" s="232"/>
      <c r="AF15" s="225"/>
      <c r="AG15" s="233">
        <v>5</v>
      </c>
      <c r="AH15" s="221">
        <v>5</v>
      </c>
      <c r="AI15" s="200">
        <v>5</v>
      </c>
      <c r="AJ15" s="200"/>
      <c r="AK15" s="200"/>
      <c r="AL15" s="200"/>
      <c r="AM15" s="200"/>
      <c r="AN15" s="200"/>
      <c r="AO15" s="234"/>
      <c r="AP15" s="235"/>
      <c r="AQ15" s="76">
        <f t="shared" si="3"/>
        <v>4.5999999999999996</v>
      </c>
      <c r="AR15" s="77">
        <f t="shared" si="4"/>
        <v>0</v>
      </c>
      <c r="AS15" s="77">
        <f t="shared" si="5"/>
        <v>1</v>
      </c>
    </row>
    <row r="16" spans="1:45" ht="15.75" customHeight="1">
      <c r="A16" s="144" t="s">
        <v>69</v>
      </c>
      <c r="B16" s="137" t="s">
        <v>70</v>
      </c>
      <c r="C16" s="187"/>
      <c r="D16" s="188">
        <v>3</v>
      </c>
      <c r="E16" s="189"/>
      <c r="F16" s="190">
        <v>5</v>
      </c>
      <c r="G16" s="191" t="s">
        <v>166</v>
      </c>
      <c r="H16" s="189">
        <v>5</v>
      </c>
      <c r="I16" s="192"/>
      <c r="J16" s="187"/>
      <c r="K16" s="189"/>
      <c r="L16" s="193">
        <v>5</v>
      </c>
      <c r="M16" s="187">
        <v>2</v>
      </c>
      <c r="N16" s="196">
        <v>5</v>
      </c>
      <c r="O16" s="196">
        <v>4</v>
      </c>
      <c r="P16" s="195">
        <v>5</v>
      </c>
      <c r="Q16" s="195">
        <v>5</v>
      </c>
      <c r="R16" s="195">
        <v>5</v>
      </c>
      <c r="S16" s="196"/>
      <c r="T16" s="189">
        <v>5</v>
      </c>
      <c r="U16" s="196"/>
      <c r="V16" s="196"/>
      <c r="W16" s="195">
        <v>4</v>
      </c>
      <c r="X16" s="189" t="s">
        <v>46</v>
      </c>
      <c r="Y16" s="192"/>
      <c r="Z16" s="197">
        <v>4</v>
      </c>
      <c r="AA16" s="195">
        <v>4</v>
      </c>
      <c r="AB16" s="196"/>
      <c r="AC16" s="198"/>
      <c r="AD16" s="199" t="s">
        <v>46</v>
      </c>
      <c r="AE16" s="189"/>
      <c r="AF16" s="192"/>
      <c r="AG16" s="201">
        <v>5</v>
      </c>
      <c r="AH16" s="187">
        <v>5</v>
      </c>
      <c r="AI16" s="189">
        <v>2</v>
      </c>
      <c r="AJ16" s="189"/>
      <c r="AK16" s="189"/>
      <c r="AL16" s="189"/>
      <c r="AM16" s="189"/>
      <c r="AN16" s="189"/>
      <c r="AO16" s="190"/>
      <c r="AP16" s="237"/>
      <c r="AQ16" s="76">
        <f t="shared" si="3"/>
        <v>4.2941176470588234</v>
      </c>
      <c r="AR16" s="77">
        <f t="shared" si="4"/>
        <v>0</v>
      </c>
      <c r="AS16" s="77">
        <f t="shared" si="5"/>
        <v>2</v>
      </c>
    </row>
    <row r="17" spans="1:46" ht="15.75" customHeight="1">
      <c r="A17" s="144" t="s">
        <v>71</v>
      </c>
      <c r="B17" s="137" t="s">
        <v>72</v>
      </c>
      <c r="C17" s="187"/>
      <c r="D17" s="188">
        <v>4</v>
      </c>
      <c r="E17" s="189"/>
      <c r="F17" s="190" t="s">
        <v>46</v>
      </c>
      <c r="G17" s="191" t="s">
        <v>167</v>
      </c>
      <c r="H17" s="189" t="s">
        <v>46</v>
      </c>
      <c r="I17" s="192" t="s">
        <v>46</v>
      </c>
      <c r="J17" s="187"/>
      <c r="K17" s="189"/>
      <c r="L17" s="193">
        <v>4</v>
      </c>
      <c r="M17" s="187" t="s">
        <v>46</v>
      </c>
      <c r="N17" s="188">
        <v>3</v>
      </c>
      <c r="O17" s="188">
        <v>3</v>
      </c>
      <c r="P17" s="195" t="s">
        <v>46</v>
      </c>
      <c r="Q17" s="195" t="s">
        <v>46</v>
      </c>
      <c r="R17" s="195"/>
      <c r="S17" s="196" t="s">
        <v>46</v>
      </c>
      <c r="T17" s="189"/>
      <c r="U17" s="196" t="s">
        <v>46</v>
      </c>
      <c r="V17" s="196" t="s">
        <v>46</v>
      </c>
      <c r="W17" s="195" t="s">
        <v>46</v>
      </c>
      <c r="X17" s="189" t="s">
        <v>46</v>
      </c>
      <c r="Y17" s="192"/>
      <c r="Z17" s="197" t="s">
        <v>46</v>
      </c>
      <c r="AA17" s="195"/>
      <c r="AB17" s="196"/>
      <c r="AC17" s="198"/>
      <c r="AD17" s="199"/>
      <c r="AE17" s="189"/>
      <c r="AF17" s="192"/>
      <c r="AG17" s="201" t="s">
        <v>46</v>
      </c>
      <c r="AH17" s="187">
        <v>2</v>
      </c>
      <c r="AI17" s="189" t="s">
        <v>46</v>
      </c>
      <c r="AJ17" s="189"/>
      <c r="AK17" s="189"/>
      <c r="AL17" s="189"/>
      <c r="AM17" s="189"/>
      <c r="AN17" s="189"/>
      <c r="AO17" s="190"/>
      <c r="AP17" s="237"/>
      <c r="AQ17" s="76">
        <f t="shared" si="3"/>
        <v>3.2</v>
      </c>
      <c r="AR17" s="77">
        <f t="shared" si="4"/>
        <v>0</v>
      </c>
      <c r="AS17" s="77">
        <f t="shared" si="5"/>
        <v>14</v>
      </c>
    </row>
    <row r="18" spans="1:46" ht="15.75" customHeight="1">
      <c r="A18" s="144" t="s">
        <v>73</v>
      </c>
      <c r="B18" s="150" t="s">
        <v>74</v>
      </c>
      <c r="C18" s="221"/>
      <c r="D18" s="200">
        <v>5</v>
      </c>
      <c r="E18" s="200">
        <v>5</v>
      </c>
      <c r="F18" s="234">
        <v>5</v>
      </c>
      <c r="G18" s="224" t="s">
        <v>168</v>
      </c>
      <c r="H18" s="200">
        <v>5</v>
      </c>
      <c r="I18" s="225" t="s">
        <v>46</v>
      </c>
      <c r="J18" s="221"/>
      <c r="K18" s="200"/>
      <c r="L18" s="226">
        <v>4</v>
      </c>
      <c r="M18" s="221">
        <v>5</v>
      </c>
      <c r="N18" s="227">
        <v>3</v>
      </c>
      <c r="O18" s="227">
        <v>3</v>
      </c>
      <c r="P18" s="251">
        <v>5</v>
      </c>
      <c r="Q18" s="251">
        <v>5</v>
      </c>
      <c r="R18" s="251">
        <v>5</v>
      </c>
      <c r="S18" s="227"/>
      <c r="T18" s="200" t="s">
        <v>101</v>
      </c>
      <c r="U18" s="227"/>
      <c r="V18" s="227"/>
      <c r="W18" s="228"/>
      <c r="X18" s="200" t="s">
        <v>46</v>
      </c>
      <c r="Y18" s="225"/>
      <c r="Z18" s="229"/>
      <c r="AA18" s="228"/>
      <c r="AB18" s="227" t="s">
        <v>46</v>
      </c>
      <c r="AC18" s="230"/>
      <c r="AD18" s="231"/>
      <c r="AE18" s="189"/>
      <c r="AF18" s="225"/>
      <c r="AG18" s="233">
        <v>5</v>
      </c>
      <c r="AH18" s="221">
        <v>5</v>
      </c>
      <c r="AI18" s="200">
        <v>2</v>
      </c>
      <c r="AJ18" s="200"/>
      <c r="AK18" s="200"/>
      <c r="AL18" s="200"/>
      <c r="AM18" s="200"/>
      <c r="AN18" s="200"/>
      <c r="AO18" s="234"/>
      <c r="AP18" s="235"/>
      <c r="AQ18" s="76">
        <f t="shared" si="3"/>
        <v>4.4285714285714288</v>
      </c>
      <c r="AR18" s="77">
        <f t="shared" si="4"/>
        <v>0</v>
      </c>
      <c r="AS18" s="77">
        <f t="shared" si="5"/>
        <v>3</v>
      </c>
    </row>
    <row r="19" spans="1:46" ht="15.75" customHeight="1">
      <c r="A19" s="146" t="s">
        <v>75</v>
      </c>
      <c r="B19" s="151" t="s">
        <v>76</v>
      </c>
      <c r="C19" s="239"/>
      <c r="D19" s="218">
        <v>5</v>
      </c>
      <c r="E19" s="218">
        <v>5</v>
      </c>
      <c r="F19" s="252">
        <v>4</v>
      </c>
      <c r="G19" s="241" t="s">
        <v>169</v>
      </c>
      <c r="H19" s="253">
        <v>4</v>
      </c>
      <c r="I19" s="242"/>
      <c r="J19" s="239"/>
      <c r="K19" s="218"/>
      <c r="L19" s="243">
        <v>3</v>
      </c>
      <c r="M19" s="239">
        <v>5</v>
      </c>
      <c r="N19" s="253">
        <v>4</v>
      </c>
      <c r="O19" s="244">
        <v>4</v>
      </c>
      <c r="P19" s="245">
        <v>5</v>
      </c>
      <c r="Q19" s="245">
        <v>5</v>
      </c>
      <c r="R19" s="245">
        <v>4</v>
      </c>
      <c r="S19" s="244">
        <v>4</v>
      </c>
      <c r="T19" s="218">
        <v>4</v>
      </c>
      <c r="U19" s="244">
        <v>4</v>
      </c>
      <c r="V19" s="244">
        <v>4</v>
      </c>
      <c r="W19" s="245">
        <v>4</v>
      </c>
      <c r="X19" s="218"/>
      <c r="Y19" s="242"/>
      <c r="Z19" s="246">
        <v>4</v>
      </c>
      <c r="AA19" s="245">
        <v>4</v>
      </c>
      <c r="AB19" s="244"/>
      <c r="AC19" s="247" t="s">
        <v>46</v>
      </c>
      <c r="AD19" s="248"/>
      <c r="AE19" s="218"/>
      <c r="AF19" s="242"/>
      <c r="AG19" s="249">
        <v>5</v>
      </c>
      <c r="AH19" s="239">
        <v>5</v>
      </c>
      <c r="AI19" s="218">
        <v>5</v>
      </c>
      <c r="AJ19" s="218"/>
      <c r="AK19" s="218"/>
      <c r="AL19" s="218"/>
      <c r="AM19" s="218"/>
      <c r="AN19" s="218"/>
      <c r="AO19" s="240"/>
      <c r="AP19" s="250"/>
      <c r="AQ19" s="76">
        <f t="shared" si="3"/>
        <v>4.333333333333333</v>
      </c>
      <c r="AR19" s="77">
        <f t="shared" si="4"/>
        <v>0</v>
      </c>
      <c r="AS19" s="77">
        <f t="shared" si="5"/>
        <v>1</v>
      </c>
    </row>
    <row r="20" spans="1:46" ht="15.75" customHeight="1">
      <c r="A20" s="149" t="s">
        <v>77</v>
      </c>
      <c r="B20" s="150" t="s">
        <v>78</v>
      </c>
      <c r="C20" s="221"/>
      <c r="D20" s="200">
        <v>5</v>
      </c>
      <c r="E20" s="200">
        <v>5</v>
      </c>
      <c r="F20" s="234">
        <v>5</v>
      </c>
      <c r="G20" s="224" t="s">
        <v>170</v>
      </c>
      <c r="H20" s="200">
        <v>5</v>
      </c>
      <c r="I20" s="225"/>
      <c r="J20" s="221"/>
      <c r="K20" s="200"/>
      <c r="L20" s="226">
        <v>4</v>
      </c>
      <c r="M20" s="221">
        <v>5</v>
      </c>
      <c r="N20" s="227">
        <v>4</v>
      </c>
      <c r="O20" s="227">
        <v>4</v>
      </c>
      <c r="P20" s="228">
        <v>3</v>
      </c>
      <c r="Q20" s="228">
        <v>3</v>
      </c>
      <c r="R20" s="251">
        <v>3</v>
      </c>
      <c r="S20" s="227"/>
      <c r="T20" s="200"/>
      <c r="U20" s="227" t="s">
        <v>46</v>
      </c>
      <c r="V20" s="227" t="s">
        <v>46</v>
      </c>
      <c r="W20" s="228"/>
      <c r="X20" s="200"/>
      <c r="Y20" s="225"/>
      <c r="Z20" s="229"/>
      <c r="AA20" s="228"/>
      <c r="AB20" s="227"/>
      <c r="AC20" s="230"/>
      <c r="AD20" s="231" t="s">
        <v>46</v>
      </c>
      <c r="AE20" s="232"/>
      <c r="AF20" s="225"/>
      <c r="AG20" s="233">
        <v>2</v>
      </c>
      <c r="AH20" s="221">
        <v>2</v>
      </c>
      <c r="AI20" s="200">
        <v>2</v>
      </c>
      <c r="AJ20" s="200"/>
      <c r="AK20" s="200"/>
      <c r="AL20" s="200"/>
      <c r="AM20" s="200"/>
      <c r="AN20" s="200"/>
      <c r="AO20" s="234"/>
      <c r="AP20" s="235"/>
      <c r="AQ20" s="76">
        <f t="shared" si="3"/>
        <v>3.7142857142857144</v>
      </c>
      <c r="AR20" s="77">
        <f t="shared" si="4"/>
        <v>0</v>
      </c>
      <c r="AS20" s="77">
        <f t="shared" si="5"/>
        <v>3</v>
      </c>
    </row>
    <row r="21" spans="1:46" ht="15.75" customHeight="1">
      <c r="A21" s="144" t="s">
        <v>79</v>
      </c>
      <c r="B21" s="137" t="s">
        <v>80</v>
      </c>
      <c r="C21" s="187">
        <v>5</v>
      </c>
      <c r="D21" s="189">
        <v>5</v>
      </c>
      <c r="E21" s="189">
        <v>5</v>
      </c>
      <c r="F21" s="190">
        <v>5</v>
      </c>
      <c r="G21" s="191" t="s">
        <v>171</v>
      </c>
      <c r="H21" s="189">
        <v>5</v>
      </c>
      <c r="I21" s="192"/>
      <c r="J21" s="187"/>
      <c r="K21" s="189"/>
      <c r="L21" s="193">
        <v>4</v>
      </c>
      <c r="M21" s="187">
        <v>5</v>
      </c>
      <c r="N21" s="196">
        <v>3</v>
      </c>
      <c r="O21" s="196">
        <v>3</v>
      </c>
      <c r="P21" s="195">
        <v>4</v>
      </c>
      <c r="Q21" s="195">
        <v>5</v>
      </c>
      <c r="R21" s="195">
        <v>5</v>
      </c>
      <c r="S21" s="196"/>
      <c r="T21" s="189" t="s">
        <v>101</v>
      </c>
      <c r="U21" s="196"/>
      <c r="V21" s="196"/>
      <c r="W21" s="195"/>
      <c r="X21" s="189"/>
      <c r="Y21" s="192"/>
      <c r="Z21" s="197" t="s">
        <v>46</v>
      </c>
      <c r="AA21" s="195" t="s">
        <v>46</v>
      </c>
      <c r="AB21" s="196" t="s">
        <v>46</v>
      </c>
      <c r="AC21" s="198"/>
      <c r="AD21" s="199"/>
      <c r="AE21" s="189"/>
      <c r="AF21" s="192"/>
      <c r="AG21" s="201">
        <v>2</v>
      </c>
      <c r="AH21" s="187" t="s">
        <v>46</v>
      </c>
      <c r="AI21" s="189">
        <v>2</v>
      </c>
      <c r="AJ21" s="189"/>
      <c r="AK21" s="189"/>
      <c r="AL21" s="189"/>
      <c r="AM21" s="189"/>
      <c r="AN21" s="189"/>
      <c r="AO21" s="190"/>
      <c r="AP21" s="237"/>
      <c r="AQ21" s="76">
        <f t="shared" si="3"/>
        <v>4.1428571428571432</v>
      </c>
      <c r="AR21" s="77">
        <f t="shared" si="4"/>
        <v>0</v>
      </c>
      <c r="AS21" s="77">
        <f t="shared" si="5"/>
        <v>4</v>
      </c>
    </row>
    <row r="22" spans="1:46" ht="15.75" customHeight="1">
      <c r="A22" s="144" t="s">
        <v>81</v>
      </c>
      <c r="B22" s="137" t="s">
        <v>82</v>
      </c>
      <c r="C22" s="187"/>
      <c r="D22" s="188"/>
      <c r="E22" s="189"/>
      <c r="F22" s="190">
        <v>5</v>
      </c>
      <c r="G22" s="191" t="s">
        <v>172</v>
      </c>
      <c r="H22" s="189">
        <v>5</v>
      </c>
      <c r="I22" s="205"/>
      <c r="J22" s="187"/>
      <c r="K22" s="189"/>
      <c r="L22" s="193">
        <v>5</v>
      </c>
      <c r="M22" s="187">
        <v>5</v>
      </c>
      <c r="N22" s="188">
        <v>5</v>
      </c>
      <c r="O22" s="188">
        <v>5</v>
      </c>
      <c r="P22" s="195">
        <v>5</v>
      </c>
      <c r="Q22" s="195">
        <v>5</v>
      </c>
      <c r="R22" s="195">
        <v>5</v>
      </c>
      <c r="S22" s="196">
        <v>5</v>
      </c>
      <c r="T22" s="189">
        <v>5</v>
      </c>
      <c r="U22" s="196">
        <v>5</v>
      </c>
      <c r="V22" s="196">
        <v>5</v>
      </c>
      <c r="W22" s="195">
        <v>5</v>
      </c>
      <c r="X22" s="189"/>
      <c r="Y22" s="192"/>
      <c r="Z22" s="197">
        <v>5</v>
      </c>
      <c r="AA22" s="195">
        <v>5</v>
      </c>
      <c r="AB22" s="196">
        <v>5</v>
      </c>
      <c r="AC22" s="198">
        <v>5</v>
      </c>
      <c r="AD22" s="199">
        <v>5</v>
      </c>
      <c r="AE22" s="189"/>
      <c r="AF22" s="192"/>
      <c r="AG22" s="201">
        <v>5</v>
      </c>
      <c r="AH22" s="61">
        <v>5</v>
      </c>
      <c r="AI22" s="189">
        <v>5</v>
      </c>
      <c r="AJ22" s="189"/>
      <c r="AK22" s="189"/>
      <c r="AL22" s="189"/>
      <c r="AM22" s="189"/>
      <c r="AN22" s="189"/>
      <c r="AO22" s="190"/>
      <c r="AP22" s="237"/>
      <c r="AQ22" s="76">
        <f t="shared" si="3"/>
        <v>5</v>
      </c>
      <c r="AR22" s="77">
        <f t="shared" si="4"/>
        <v>0</v>
      </c>
      <c r="AS22" s="77">
        <f t="shared" si="5"/>
        <v>0</v>
      </c>
    </row>
    <row r="23" spans="1:46" ht="15.75" customHeight="1">
      <c r="A23" s="144" t="s">
        <v>83</v>
      </c>
      <c r="B23" s="150" t="s">
        <v>84</v>
      </c>
      <c r="C23" s="221">
        <v>5</v>
      </c>
      <c r="D23" s="200">
        <v>5</v>
      </c>
      <c r="E23" s="200">
        <v>5</v>
      </c>
      <c r="F23" s="236"/>
      <c r="G23" s="224" t="s">
        <v>173</v>
      </c>
      <c r="H23" s="200">
        <v>5</v>
      </c>
      <c r="I23" s="254"/>
      <c r="J23" s="187"/>
      <c r="K23" s="200"/>
      <c r="L23" s="226">
        <v>5</v>
      </c>
      <c r="M23" s="255">
        <v>4</v>
      </c>
      <c r="N23" s="227">
        <v>5</v>
      </c>
      <c r="O23" s="227">
        <v>5</v>
      </c>
      <c r="P23" s="251">
        <v>5</v>
      </c>
      <c r="Q23" s="251">
        <v>5</v>
      </c>
      <c r="R23" s="256">
        <v>5</v>
      </c>
      <c r="S23" s="256">
        <v>5</v>
      </c>
      <c r="T23" s="251"/>
      <c r="U23" s="227">
        <v>5</v>
      </c>
      <c r="V23" s="227">
        <v>5</v>
      </c>
      <c r="W23" s="228" t="s">
        <v>46</v>
      </c>
      <c r="X23" s="200" t="s">
        <v>46</v>
      </c>
      <c r="Y23" s="225"/>
      <c r="Z23" s="229" t="s">
        <v>46</v>
      </c>
      <c r="AA23" s="228" t="s">
        <v>46</v>
      </c>
      <c r="AB23" s="227" t="s">
        <v>46</v>
      </c>
      <c r="AC23" s="230" t="s">
        <v>46</v>
      </c>
      <c r="AD23" s="231" t="s">
        <v>46</v>
      </c>
      <c r="AE23" s="189"/>
      <c r="AF23" s="225"/>
      <c r="AG23" s="233" t="s">
        <v>46</v>
      </c>
      <c r="AH23" s="221">
        <v>2</v>
      </c>
      <c r="AI23" s="200" t="s">
        <v>46</v>
      </c>
      <c r="AJ23" s="200"/>
      <c r="AK23" s="200"/>
      <c r="AL23" s="200"/>
      <c r="AM23" s="200"/>
      <c r="AN23" s="200"/>
      <c r="AO23" s="234"/>
      <c r="AP23" s="235"/>
      <c r="AQ23" s="76">
        <f t="shared" si="3"/>
        <v>4.7333333333333334</v>
      </c>
      <c r="AR23" s="77">
        <f t="shared" si="4"/>
        <v>0</v>
      </c>
      <c r="AS23" s="77">
        <f t="shared" si="5"/>
        <v>9</v>
      </c>
    </row>
    <row r="24" spans="1:46" ht="15.75" customHeight="1">
      <c r="A24" s="154" t="s">
        <v>27</v>
      </c>
      <c r="B24" s="151" t="s">
        <v>85</v>
      </c>
      <c r="C24" s="239"/>
      <c r="D24" s="218">
        <v>5</v>
      </c>
      <c r="E24" s="218">
        <v>5</v>
      </c>
      <c r="F24" s="240">
        <v>5</v>
      </c>
      <c r="G24" s="241" t="s">
        <v>174</v>
      </c>
      <c r="H24" s="218">
        <v>5</v>
      </c>
      <c r="I24" s="242"/>
      <c r="J24" s="239"/>
      <c r="K24" s="218"/>
      <c r="L24" s="243">
        <v>5</v>
      </c>
      <c r="M24" s="239">
        <v>5</v>
      </c>
      <c r="N24" s="244">
        <v>4</v>
      </c>
      <c r="O24" s="244">
        <v>4</v>
      </c>
      <c r="P24" s="253">
        <v>5</v>
      </c>
      <c r="Q24" s="252">
        <v>5</v>
      </c>
      <c r="R24" s="257">
        <v>5</v>
      </c>
      <c r="S24" s="257">
        <v>5</v>
      </c>
      <c r="T24" s="239" t="s">
        <v>101</v>
      </c>
      <c r="U24" s="244">
        <v>5</v>
      </c>
      <c r="V24" s="244">
        <v>5</v>
      </c>
      <c r="W24" s="245">
        <v>5</v>
      </c>
      <c r="X24" s="218"/>
      <c r="Y24" s="242"/>
      <c r="Z24" s="246">
        <v>5</v>
      </c>
      <c r="AA24" s="245">
        <v>5</v>
      </c>
      <c r="AB24" s="244">
        <v>5</v>
      </c>
      <c r="AC24" s="247">
        <v>5</v>
      </c>
      <c r="AD24" s="248">
        <v>5</v>
      </c>
      <c r="AE24" s="218"/>
      <c r="AF24" s="242"/>
      <c r="AG24" s="249">
        <v>5</v>
      </c>
      <c r="AH24" s="239">
        <v>5</v>
      </c>
      <c r="AI24" s="218">
        <v>5</v>
      </c>
      <c r="AJ24" s="218"/>
      <c r="AK24" s="218"/>
      <c r="AL24" s="218"/>
      <c r="AM24" s="218"/>
      <c r="AN24" s="218"/>
      <c r="AO24" s="240"/>
      <c r="AP24" s="250"/>
      <c r="AQ24" s="76">
        <f t="shared" si="3"/>
        <v>4.9130434782608692</v>
      </c>
      <c r="AR24" s="77">
        <f t="shared" si="4"/>
        <v>0</v>
      </c>
      <c r="AS24" s="77">
        <f t="shared" si="5"/>
        <v>0</v>
      </c>
    </row>
    <row r="25" spans="1:46" ht="15.75" customHeight="1">
      <c r="A25" s="156" t="s">
        <v>86</v>
      </c>
      <c r="B25" s="150" t="s">
        <v>87</v>
      </c>
      <c r="C25" s="221"/>
      <c r="D25" s="251">
        <v>4</v>
      </c>
      <c r="E25" s="200"/>
      <c r="F25" s="258" t="s">
        <v>48</v>
      </c>
      <c r="G25" s="224" t="s">
        <v>155</v>
      </c>
      <c r="H25" s="200" t="s">
        <v>46</v>
      </c>
      <c r="I25" s="225" t="s">
        <v>46</v>
      </c>
      <c r="J25" s="221"/>
      <c r="K25" s="200"/>
      <c r="L25" s="226">
        <v>5</v>
      </c>
      <c r="M25" s="221" t="s">
        <v>46</v>
      </c>
      <c r="N25" s="251">
        <v>3</v>
      </c>
      <c r="O25" s="259">
        <v>3</v>
      </c>
      <c r="P25" s="260" t="s">
        <v>48</v>
      </c>
      <c r="Q25" s="260" t="s">
        <v>48</v>
      </c>
      <c r="R25" s="229" t="s">
        <v>46</v>
      </c>
      <c r="S25" s="227"/>
      <c r="T25" s="200" t="s">
        <v>46</v>
      </c>
      <c r="U25" s="227" t="s">
        <v>46</v>
      </c>
      <c r="V25" s="227" t="s">
        <v>46</v>
      </c>
      <c r="W25" s="228" t="s">
        <v>46</v>
      </c>
      <c r="X25" s="200" t="s">
        <v>46</v>
      </c>
      <c r="Y25" s="225"/>
      <c r="Z25" s="229" t="s">
        <v>46</v>
      </c>
      <c r="AA25" s="228" t="s">
        <v>46</v>
      </c>
      <c r="AB25" s="227" t="s">
        <v>46</v>
      </c>
      <c r="AC25" s="230" t="s">
        <v>46</v>
      </c>
      <c r="AD25" s="231" t="s">
        <v>46</v>
      </c>
      <c r="AE25" s="232" t="s">
        <v>46</v>
      </c>
      <c r="AF25" s="225" t="s">
        <v>46</v>
      </c>
      <c r="AG25" s="233">
        <v>5</v>
      </c>
      <c r="AH25" s="221">
        <v>4</v>
      </c>
      <c r="AI25" s="200" t="s">
        <v>46</v>
      </c>
      <c r="AJ25" s="200"/>
      <c r="AK25" s="200"/>
      <c r="AL25" s="200"/>
      <c r="AM25" s="200"/>
      <c r="AN25" s="200"/>
      <c r="AO25" s="234"/>
      <c r="AP25" s="235"/>
      <c r="AQ25" s="76">
        <f t="shared" si="3"/>
        <v>4</v>
      </c>
      <c r="AR25" s="77">
        <f t="shared" si="4"/>
        <v>3</v>
      </c>
      <c r="AS25" s="77">
        <f t="shared" si="5"/>
        <v>17</v>
      </c>
    </row>
    <row r="26" spans="1:46" ht="16.5" hidden="1" customHeight="1">
      <c r="A26" s="139" t="s">
        <v>86</v>
      </c>
      <c r="B26" s="137" t="s">
        <v>88</v>
      </c>
      <c r="C26" s="187"/>
      <c r="D26" s="188"/>
      <c r="E26" s="189"/>
      <c r="F26" s="190"/>
      <c r="G26" s="191"/>
      <c r="H26" s="261"/>
      <c r="I26" s="262"/>
      <c r="J26" s="187"/>
      <c r="K26" s="189"/>
      <c r="L26" s="193"/>
      <c r="M26" s="187"/>
      <c r="N26" s="189"/>
      <c r="O26" s="189"/>
      <c r="P26" s="228"/>
      <c r="Q26" s="228"/>
      <c r="R26" s="195"/>
      <c r="S26" s="196"/>
      <c r="T26" s="189"/>
      <c r="U26" s="196"/>
      <c r="V26" s="196"/>
      <c r="W26" s="195"/>
      <c r="X26" s="189"/>
      <c r="Y26" s="192"/>
      <c r="Z26" s="197"/>
      <c r="AA26" s="195"/>
      <c r="AB26" s="196"/>
      <c r="AC26" s="198"/>
      <c r="AD26" s="199"/>
      <c r="AE26" s="189"/>
      <c r="AF26" s="192"/>
      <c r="AG26" s="201"/>
      <c r="AH26" s="187"/>
      <c r="AI26" s="189"/>
      <c r="AJ26" s="189"/>
      <c r="AK26" s="189"/>
      <c r="AL26" s="189"/>
      <c r="AM26" s="189"/>
      <c r="AN26" s="189"/>
      <c r="AO26" s="190"/>
      <c r="AP26" s="237"/>
      <c r="AQ26" s="76" t="str">
        <f t="shared" si="3"/>
        <v>Нет оценок</v>
      </c>
      <c r="AR26" s="77">
        <f t="shared" si="4"/>
        <v>0</v>
      </c>
      <c r="AS26" s="77">
        <f t="shared" si="5"/>
        <v>0</v>
      </c>
    </row>
    <row r="27" spans="1:46" ht="15.75" customHeight="1">
      <c r="A27" s="139" t="s">
        <v>89</v>
      </c>
      <c r="B27" s="137" t="s">
        <v>175</v>
      </c>
      <c r="C27" s="263"/>
      <c r="D27" s="261">
        <v>2</v>
      </c>
      <c r="E27" s="261"/>
      <c r="F27" s="264"/>
      <c r="G27" s="265" t="s">
        <v>157</v>
      </c>
      <c r="H27" s="110" t="s">
        <v>48</v>
      </c>
      <c r="I27" s="266" t="s">
        <v>48</v>
      </c>
      <c r="J27" s="263"/>
      <c r="K27" s="261"/>
      <c r="L27" s="267">
        <v>2</v>
      </c>
      <c r="M27" s="263" t="s">
        <v>46</v>
      </c>
      <c r="N27" s="268">
        <v>3</v>
      </c>
      <c r="O27" s="268">
        <v>3</v>
      </c>
      <c r="P27" s="269">
        <v>4</v>
      </c>
      <c r="Q27" s="269">
        <v>3</v>
      </c>
      <c r="R27" s="269">
        <v>3</v>
      </c>
      <c r="S27" s="268"/>
      <c r="T27" s="261" t="s">
        <v>101</v>
      </c>
      <c r="U27" s="268"/>
      <c r="V27" s="268"/>
      <c r="W27" s="269">
        <v>4</v>
      </c>
      <c r="X27" s="261" t="s">
        <v>46</v>
      </c>
      <c r="Y27" s="262"/>
      <c r="Z27" s="270">
        <v>4</v>
      </c>
      <c r="AA27" s="269">
        <v>4</v>
      </c>
      <c r="AB27" s="268" t="s">
        <v>46</v>
      </c>
      <c r="AC27" s="271"/>
      <c r="AD27" s="272"/>
      <c r="AE27" s="189"/>
      <c r="AF27" s="262"/>
      <c r="AG27" s="273">
        <v>5</v>
      </c>
      <c r="AH27" s="263">
        <v>5</v>
      </c>
      <c r="AI27" s="261">
        <v>5</v>
      </c>
      <c r="AJ27" s="261"/>
      <c r="AK27" s="261"/>
      <c r="AL27" s="261"/>
      <c r="AM27" s="261"/>
      <c r="AN27" s="261"/>
      <c r="AO27" s="264"/>
      <c r="AP27" s="274"/>
      <c r="AQ27" s="76">
        <f t="shared" si="3"/>
        <v>3.6153846153846154</v>
      </c>
      <c r="AR27" s="77">
        <f t="shared" si="4"/>
        <v>2</v>
      </c>
      <c r="AS27" s="77">
        <f t="shared" si="5"/>
        <v>3</v>
      </c>
    </row>
    <row r="28" spans="1:46" ht="15.75" customHeight="1">
      <c r="A28" s="275" t="s">
        <v>91</v>
      </c>
      <c r="B28" s="151" t="s">
        <v>92</v>
      </c>
      <c r="C28" s="239"/>
      <c r="D28" s="218">
        <v>3</v>
      </c>
      <c r="E28" s="218">
        <v>5</v>
      </c>
      <c r="F28" s="252"/>
      <c r="G28" s="241" t="s">
        <v>158</v>
      </c>
      <c r="H28" s="207">
        <v>5</v>
      </c>
      <c r="I28" s="210"/>
      <c r="J28" s="239"/>
      <c r="K28" s="218"/>
      <c r="L28" s="243">
        <v>5</v>
      </c>
      <c r="M28" s="239">
        <v>2</v>
      </c>
      <c r="N28" s="244">
        <v>5</v>
      </c>
      <c r="O28" s="244">
        <v>5</v>
      </c>
      <c r="P28" s="245">
        <v>5</v>
      </c>
      <c r="Q28" s="245">
        <v>5</v>
      </c>
      <c r="R28" s="245">
        <v>5</v>
      </c>
      <c r="S28" s="244" t="s">
        <v>46</v>
      </c>
      <c r="T28" s="218">
        <v>5</v>
      </c>
      <c r="U28" s="244"/>
      <c r="V28" s="244"/>
      <c r="W28" s="245"/>
      <c r="X28" s="218" t="s">
        <v>46</v>
      </c>
      <c r="Y28" s="242"/>
      <c r="Z28" s="246" t="s">
        <v>46</v>
      </c>
      <c r="AA28" s="245" t="s">
        <v>46</v>
      </c>
      <c r="AB28" s="244" t="s">
        <v>46</v>
      </c>
      <c r="AC28" s="247" t="s">
        <v>46</v>
      </c>
      <c r="AD28" s="248"/>
      <c r="AE28" s="218"/>
      <c r="AF28" s="242"/>
      <c r="AG28" s="249">
        <v>2</v>
      </c>
      <c r="AH28" s="239">
        <v>2</v>
      </c>
      <c r="AI28" s="218">
        <v>2</v>
      </c>
      <c r="AJ28" s="218"/>
      <c r="AK28" s="218"/>
      <c r="AL28" s="218"/>
      <c r="AM28" s="218"/>
      <c r="AN28" s="218"/>
      <c r="AO28" s="240"/>
      <c r="AP28" s="250"/>
      <c r="AQ28" s="76">
        <f t="shared" si="3"/>
        <v>4</v>
      </c>
      <c r="AR28" s="77">
        <f t="shared" si="4"/>
        <v>0</v>
      </c>
      <c r="AS28" s="77">
        <f t="shared" si="5"/>
        <v>6</v>
      </c>
    </row>
    <row r="29" spans="1:46" ht="51.75" customHeight="1">
      <c r="C29" s="276"/>
      <c r="D29" s="276"/>
      <c r="E29" s="276"/>
      <c r="F29" s="276"/>
      <c r="G29" s="277"/>
      <c r="H29" s="276"/>
      <c r="I29" s="276"/>
      <c r="J29" s="276"/>
      <c r="K29" s="276"/>
      <c r="L29" s="276"/>
      <c r="M29" s="276"/>
      <c r="N29" s="278" t="s">
        <v>176</v>
      </c>
      <c r="O29" s="278" t="s">
        <v>176</v>
      </c>
      <c r="P29" s="279" t="s">
        <v>177</v>
      </c>
      <c r="Q29" s="279" t="s">
        <v>177</v>
      </c>
      <c r="R29" s="279" t="s">
        <v>177</v>
      </c>
      <c r="S29" s="278" t="s">
        <v>178</v>
      </c>
      <c r="T29" s="276"/>
      <c r="U29" s="278" t="s">
        <v>178</v>
      </c>
      <c r="V29" s="278" t="s">
        <v>178</v>
      </c>
      <c r="W29" s="279" t="s">
        <v>179</v>
      </c>
      <c r="X29" s="279" t="s">
        <v>179</v>
      </c>
      <c r="Y29" s="276"/>
      <c r="Z29" s="279" t="s">
        <v>179</v>
      </c>
      <c r="AA29" s="279" t="s">
        <v>179</v>
      </c>
      <c r="AB29" s="278" t="s">
        <v>180</v>
      </c>
      <c r="AC29" s="278" t="s">
        <v>180</v>
      </c>
      <c r="AD29" s="278" t="s">
        <v>180</v>
      </c>
      <c r="AE29" s="276"/>
      <c r="AF29" s="276"/>
      <c r="AG29" s="280" t="s">
        <v>181</v>
      </c>
      <c r="AH29" s="280" t="s">
        <v>181</v>
      </c>
      <c r="AI29" s="280" t="s">
        <v>181</v>
      </c>
      <c r="AJ29" s="276"/>
      <c r="AK29" s="276"/>
      <c r="AL29" s="276"/>
      <c r="AM29" s="276"/>
      <c r="AN29" s="276"/>
      <c r="AO29" s="276"/>
      <c r="AP29" s="281"/>
      <c r="AQ29" s="282">
        <f>IFERROR(AVERAGE(AQ6:AQ28),"")</f>
        <v>4.0371868022944897</v>
      </c>
      <c r="AR29" s="283">
        <f>SUM(AR6:AR28)</f>
        <v>5</v>
      </c>
      <c r="AS29" s="283">
        <f>SUM(AS6:AS28)</f>
        <v>98</v>
      </c>
      <c r="AT29" s="284"/>
    </row>
    <row r="30" spans="1:46" ht="20.25" customHeight="1">
      <c r="A30" s="285" t="s">
        <v>93</v>
      </c>
      <c r="B30" s="286" t="s">
        <v>94</v>
      </c>
      <c r="C30" s="276"/>
      <c r="D30" s="276"/>
      <c r="E30" s="276"/>
      <c r="F30" s="276"/>
      <c r="G30" s="277"/>
      <c r="H30" s="276"/>
      <c r="I30" s="276"/>
      <c r="J30" s="276"/>
      <c r="K30" s="276"/>
      <c r="L30" s="276"/>
      <c r="M30" s="27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  <c r="AA30" s="276"/>
      <c r="AB30" s="276"/>
      <c r="AC30" s="276"/>
      <c r="AD30" s="276"/>
      <c r="AE30" s="276"/>
      <c r="AF30" s="276"/>
      <c r="AG30" s="276"/>
      <c r="AH30" s="276"/>
      <c r="AI30" s="276"/>
      <c r="AJ30" s="276"/>
      <c r="AK30" s="276"/>
      <c r="AL30" s="276"/>
      <c r="AM30" s="276"/>
      <c r="AN30" s="276"/>
      <c r="AO30" s="276"/>
      <c r="AP30" s="287"/>
      <c r="AQ30" s="288"/>
      <c r="AR30" s="289"/>
      <c r="AS30" s="289"/>
    </row>
    <row r="31" spans="1:46" ht="42.75">
      <c r="A31" s="290">
        <v>45902</v>
      </c>
      <c r="B31" s="291" t="s">
        <v>182</v>
      </c>
    </row>
    <row r="32" spans="1:46" ht="42.75">
      <c r="A32" s="292">
        <v>45905</v>
      </c>
      <c r="B32" s="293" t="s">
        <v>183</v>
      </c>
    </row>
    <row r="33" spans="1:2" ht="42.75">
      <c r="A33" s="294">
        <v>45926</v>
      </c>
      <c r="B33" s="295" t="s">
        <v>184</v>
      </c>
    </row>
    <row r="34" spans="1:2">
      <c r="A34" s="296">
        <v>45958</v>
      </c>
      <c r="B34" s="297" t="s">
        <v>185</v>
      </c>
    </row>
    <row r="35" spans="1:2">
      <c r="A35" s="298">
        <v>45959</v>
      </c>
      <c r="B35" s="295" t="s">
        <v>186</v>
      </c>
    </row>
    <row r="36" spans="1:2" ht="28.5">
      <c r="A36" s="299">
        <v>45967</v>
      </c>
      <c r="B36" s="300" t="s">
        <v>187</v>
      </c>
    </row>
    <row r="37" spans="1:2">
      <c r="A37" s="301">
        <v>45996</v>
      </c>
      <c r="B37" s="297" t="s">
        <v>188</v>
      </c>
    </row>
    <row r="38" spans="1:2">
      <c r="A38" s="302">
        <v>45997</v>
      </c>
      <c r="B38" s="303" t="s">
        <v>189</v>
      </c>
    </row>
    <row r="39" spans="1:2">
      <c r="A39" s="302">
        <v>45997</v>
      </c>
      <c r="B39" s="303" t="s">
        <v>189</v>
      </c>
    </row>
    <row r="40" spans="1:2">
      <c r="A40" s="302">
        <v>45999</v>
      </c>
      <c r="B40" s="303" t="s">
        <v>190</v>
      </c>
    </row>
    <row r="41" spans="1:2">
      <c r="A41" s="302">
        <v>45999</v>
      </c>
      <c r="B41" s="303" t="s">
        <v>190</v>
      </c>
    </row>
    <row r="42" spans="1:2">
      <c r="A42" s="302">
        <v>46001</v>
      </c>
      <c r="B42" s="303" t="s">
        <v>191</v>
      </c>
    </row>
    <row r="43" spans="1:2">
      <c r="A43" s="302">
        <v>46007</v>
      </c>
      <c r="B43" s="293" t="s">
        <v>192</v>
      </c>
    </row>
    <row r="44" spans="1:2">
      <c r="A44" s="302">
        <v>46008</v>
      </c>
      <c r="B44" s="303" t="s">
        <v>191</v>
      </c>
    </row>
    <row r="45" spans="1:2">
      <c r="A45" s="304">
        <v>46013</v>
      </c>
      <c r="B45" s="305" t="s">
        <v>193</v>
      </c>
    </row>
    <row r="46" spans="1:2">
      <c r="A46" s="306">
        <v>46038</v>
      </c>
      <c r="B46" s="297" t="s">
        <v>193</v>
      </c>
    </row>
    <row r="47" spans="1:2">
      <c r="A47" s="307">
        <v>46043</v>
      </c>
      <c r="B47" s="303" t="s">
        <v>193</v>
      </c>
    </row>
    <row r="48" spans="1:2">
      <c r="A48" s="307">
        <v>46045</v>
      </c>
      <c r="B48" s="303" t="s">
        <v>194</v>
      </c>
    </row>
    <row r="49" spans="1:2">
      <c r="A49" s="308">
        <v>46052</v>
      </c>
      <c r="B49" s="305" t="s">
        <v>194</v>
      </c>
    </row>
    <row r="50" spans="1:2">
      <c r="A50" s="309">
        <v>46057</v>
      </c>
      <c r="B50" s="297" t="s">
        <v>195</v>
      </c>
    </row>
    <row r="51" spans="1:2">
      <c r="A51" s="310">
        <v>46060</v>
      </c>
      <c r="B51" s="303" t="s">
        <v>195</v>
      </c>
    </row>
    <row r="52" spans="1:2">
      <c r="A52" s="311">
        <v>46060</v>
      </c>
      <c r="B52" s="295" t="s">
        <v>196</v>
      </c>
    </row>
    <row r="53" spans="1:2" ht="42.75">
      <c r="A53" s="312">
        <v>46092</v>
      </c>
      <c r="B53" s="300" t="s">
        <v>197</v>
      </c>
    </row>
    <row r="54" spans="1:2" ht="42.75">
      <c r="A54" s="313">
        <v>46113</v>
      </c>
      <c r="B54" s="291" t="s">
        <v>197</v>
      </c>
    </row>
    <row r="55" spans="1:2" ht="42.75">
      <c r="A55" s="313">
        <v>46118</v>
      </c>
      <c r="B55" s="291" t="s">
        <v>198</v>
      </c>
    </row>
    <row r="56" spans="1:2">
      <c r="A56" s="314"/>
      <c r="B56" s="303"/>
    </row>
    <row r="57" spans="1:2">
      <c r="A57" s="314"/>
      <c r="B57" s="303"/>
    </row>
    <row r="58" spans="1:2">
      <c r="A58" s="314"/>
      <c r="B58" s="303"/>
    </row>
    <row r="59" spans="1:2">
      <c r="A59" s="314"/>
      <c r="B59" s="303"/>
    </row>
    <row r="60" spans="1:2">
      <c r="A60" s="314"/>
      <c r="B60" s="303"/>
    </row>
    <row r="61" spans="1:2">
      <c r="A61" s="314"/>
      <c r="B61" s="303"/>
    </row>
    <row r="62" spans="1:2">
      <c r="A62" s="314"/>
      <c r="B62" s="303"/>
    </row>
    <row r="63" spans="1:2">
      <c r="A63" s="314"/>
      <c r="B63" s="303"/>
    </row>
    <row r="64" spans="1:2">
      <c r="A64" s="314"/>
      <c r="B64" s="303"/>
    </row>
    <row r="65" spans="1:2">
      <c r="A65" s="314"/>
      <c r="B65" s="303"/>
    </row>
  </sheetData>
  <mergeCells count="15">
    <mergeCell ref="AR3:AS3"/>
    <mergeCell ref="D4:E4"/>
    <mergeCell ref="G4:H4"/>
    <mergeCell ref="A1:B1"/>
    <mergeCell ref="C1:AO1"/>
    <mergeCell ref="A2:B2"/>
    <mergeCell ref="C2:AO2"/>
    <mergeCell ref="A3:A4"/>
    <mergeCell ref="C3:F3"/>
    <mergeCell ref="G3:I3"/>
    <mergeCell ref="J3:L3"/>
    <mergeCell ref="M3:Y3"/>
    <mergeCell ref="Z3:AC3"/>
    <mergeCell ref="AD3:AF3"/>
    <mergeCell ref="AH3:AK3"/>
  </mergeCells>
  <conditionalFormatting sqref="R24:S24">
    <cfRule type="cellIs" dxfId="89" priority="29" operator="equal">
      <formula>2</formula>
    </cfRule>
  </conditionalFormatting>
  <conditionalFormatting sqref="R24:S24">
    <cfRule type="cellIs" dxfId="88" priority="27" operator="equal">
      <formula>"н/у"</formula>
    </cfRule>
  </conditionalFormatting>
  <conditionalFormatting sqref="R24:S24">
    <cfRule type="cellIs" dxfId="87" priority="25" operator="equal">
      <formula>"н"</formula>
    </cfRule>
  </conditionalFormatting>
  <conditionalFormatting sqref="J23">
    <cfRule type="cellIs" dxfId="86" priority="24" operator="equal">
      <formula>2</formula>
    </cfRule>
  </conditionalFormatting>
  <conditionalFormatting sqref="J23">
    <cfRule type="cellIs" dxfId="85" priority="23" operator="equal">
      <formula>"н/у"</formula>
    </cfRule>
  </conditionalFormatting>
  <conditionalFormatting sqref="J23">
    <cfRule type="cellIs" dxfId="84" priority="22" operator="equal">
      <formula>"н"</formula>
    </cfRule>
  </conditionalFormatting>
  <conditionalFormatting sqref="E18">
    <cfRule type="cellIs" dxfId="83" priority="21" operator="equal">
      <formula>2</formula>
    </cfRule>
  </conditionalFormatting>
  <conditionalFormatting sqref="E18">
    <cfRule type="cellIs" dxfId="82" priority="20" operator="equal">
      <formula>"н/у"</formula>
    </cfRule>
  </conditionalFormatting>
  <conditionalFormatting sqref="E18">
    <cfRule type="cellIs" dxfId="81" priority="19" operator="equal">
      <formula>"н"</formula>
    </cfRule>
  </conditionalFormatting>
  <conditionalFormatting sqref="AQ5:AQ29">
    <cfRule type="cellIs" dxfId="80" priority="9" operator="lessThan">
      <formula>3</formula>
    </cfRule>
  </conditionalFormatting>
  <conditionalFormatting sqref="AS5:AS28">
    <cfRule type="cellIs" dxfId="79" priority="8" operator="greaterThan">
      <formula>0</formula>
    </cfRule>
  </conditionalFormatting>
  <conditionalFormatting sqref="C5:AD28 AF5:AO28 AJ5:AJ28">
    <cfRule type="cellIs" dxfId="78" priority="7" operator="equal">
      <formula>"н"</formula>
    </cfRule>
  </conditionalFormatting>
  <conditionalFormatting sqref="AE5:AE28">
    <cfRule type="cellIs" dxfId="77" priority="30" operator="equal">
      <formula>"н"</formula>
    </cfRule>
  </conditionalFormatting>
  <conditionalFormatting sqref="C5:AD28 AF5:AO28 AJ5:AJ28">
    <cfRule type="cellIs" dxfId="76" priority="6" operator="equal">
      <formula>"н/у"</formula>
    </cfRule>
  </conditionalFormatting>
  <conditionalFormatting sqref="AE5:AE28">
    <cfRule type="cellIs" dxfId="75" priority="31" operator="equal">
      <formula>"н/у"</formula>
    </cfRule>
  </conditionalFormatting>
  <conditionalFormatting sqref="C5:AD28 AF5:AO28 AJ5:AJ28">
    <cfRule type="cellIs" dxfId="74" priority="5" operator="equal">
      <formula>2</formula>
    </cfRule>
  </conditionalFormatting>
  <conditionalFormatting sqref="AE5:AE28">
    <cfRule type="cellIs" dxfId="73" priority="32" operator="equal">
      <formula>2</formula>
    </cfRule>
  </conditionalFormatting>
  <conditionalFormatting sqref="L5:L28">
    <cfRule type="cellIs" dxfId="72" priority="4" operator="equal">
      <formula>5</formula>
    </cfRule>
  </conditionalFormatting>
  <conditionalFormatting sqref="L5:L28">
    <cfRule type="cellIs" dxfId="71" priority="3" operator="equal">
      <formula>4</formula>
    </cfRule>
  </conditionalFormatting>
  <conditionalFormatting sqref="L5:L28">
    <cfRule type="cellIs" dxfId="70" priority="2" operator="equal">
      <formula>3</formula>
    </cfRule>
  </conditionalFormatting>
  <conditionalFormatting sqref="L5:L28">
    <cfRule type="cellIs" dxfId="69" priority="1" operator="equal">
      <formula>2</formula>
    </cfRule>
  </conditionalFormatting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66"/>
  <sheetViews>
    <sheetView zoomScale="85"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customWidth="1"/>
    <col min="2" max="2" width="34.44140625" customWidth="1"/>
    <col min="3" max="3" width="8.21875" customWidth="1"/>
    <col min="4" max="61" width="2.77734375" customWidth="1"/>
    <col min="62" max="62" width="9" customWidth="1"/>
    <col min="63" max="63" width="7.88671875" customWidth="1"/>
    <col min="64" max="64" width="10.6640625" customWidth="1"/>
    <col min="65" max="66" width="8.109375" customWidth="1"/>
  </cols>
  <sheetData>
    <row r="1" spans="1:66" ht="27.75">
      <c r="A1" s="1277" t="s">
        <v>38</v>
      </c>
      <c r="B1" s="1277"/>
      <c r="C1" s="1276" t="s">
        <v>8</v>
      </c>
      <c r="D1" s="1276"/>
      <c r="E1" s="1276"/>
      <c r="F1" s="1276"/>
      <c r="G1" s="1276"/>
      <c r="H1" s="1276"/>
      <c r="I1" s="1276"/>
      <c r="J1" s="1276"/>
      <c r="K1" s="1276"/>
      <c r="L1" s="1276"/>
      <c r="M1" s="1276"/>
      <c r="N1" s="1276"/>
      <c r="O1" s="1276"/>
      <c r="P1" s="1276"/>
      <c r="Q1" s="1276"/>
      <c r="R1" s="1276"/>
      <c r="S1" s="1276"/>
      <c r="T1" s="1276"/>
      <c r="U1" s="1276"/>
      <c r="V1" s="1276"/>
      <c r="W1" s="1276"/>
      <c r="X1" s="1276"/>
      <c r="Y1" s="1276"/>
      <c r="Z1" s="1276"/>
      <c r="AA1" s="1276"/>
      <c r="AB1" s="1276"/>
      <c r="AC1" s="1276"/>
      <c r="AD1" s="1276"/>
      <c r="AE1" s="1276"/>
      <c r="AF1" s="1276"/>
      <c r="AG1" s="1276"/>
      <c r="AH1" s="1276"/>
      <c r="AI1" s="1276"/>
      <c r="AJ1" s="1276"/>
      <c r="AK1" s="1276"/>
      <c r="AL1" s="1276"/>
      <c r="AM1" s="1276"/>
      <c r="AN1" s="1276"/>
      <c r="AO1" s="1276"/>
      <c r="AP1" s="1276"/>
      <c r="AQ1" s="1276"/>
      <c r="AR1" s="1276"/>
      <c r="AS1" s="1276"/>
      <c r="AT1" s="1276"/>
      <c r="AU1" s="1276"/>
      <c r="AV1" s="1276"/>
      <c r="AW1" s="1276"/>
      <c r="AX1" s="1276"/>
      <c r="AY1" s="1276"/>
      <c r="AZ1" s="1276"/>
      <c r="BA1" s="1276"/>
      <c r="BB1" s="1276"/>
      <c r="BC1" s="1276"/>
      <c r="BD1" s="1276"/>
      <c r="BE1" s="1276"/>
      <c r="BF1" s="1276"/>
      <c r="BG1" s="1276"/>
      <c r="BH1" s="1276"/>
      <c r="BI1" s="1276"/>
      <c r="BJ1" s="1276"/>
      <c r="BK1" s="1276"/>
    </row>
    <row r="2" spans="1:66" ht="27.75">
      <c r="A2" s="1277" t="s">
        <v>39</v>
      </c>
      <c r="B2" s="1277"/>
      <c r="C2" s="1277" t="s">
        <v>199</v>
      </c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1277"/>
      <c r="AD2" s="1277"/>
      <c r="AE2" s="1277"/>
      <c r="AF2" s="1277"/>
      <c r="AG2" s="1277"/>
      <c r="AH2" s="1277"/>
      <c r="AI2" s="1277"/>
      <c r="AJ2" s="1277"/>
      <c r="AK2" s="1277"/>
      <c r="AL2" s="1277"/>
      <c r="AM2" s="1277"/>
      <c r="AN2" s="1277"/>
      <c r="AO2" s="1277"/>
      <c r="AP2" s="1277"/>
      <c r="AQ2" s="1277"/>
      <c r="AR2" s="1277"/>
      <c r="AS2" s="1277"/>
      <c r="AT2" s="1277"/>
      <c r="AU2" s="1277"/>
      <c r="AV2" s="1277"/>
      <c r="AW2" s="1277"/>
      <c r="AX2" s="1277"/>
      <c r="AY2" s="1277"/>
      <c r="AZ2" s="1277"/>
      <c r="BA2" s="1277"/>
      <c r="BB2" s="1277"/>
      <c r="BC2" s="1277"/>
      <c r="BD2" s="1277"/>
      <c r="BE2" s="1277"/>
      <c r="BF2" s="1277"/>
      <c r="BG2" s="1277"/>
      <c r="BH2" s="1277"/>
      <c r="BI2" s="1277"/>
      <c r="BJ2" s="1277"/>
      <c r="BK2" s="1277"/>
      <c r="BL2" s="32"/>
      <c r="BM2" s="32"/>
      <c r="BN2" s="32"/>
    </row>
    <row r="3" spans="1:66" ht="15.75">
      <c r="A3" s="1281" t="s">
        <v>41</v>
      </c>
      <c r="B3" s="129" t="s">
        <v>42</v>
      </c>
      <c r="C3" s="130" t="s">
        <v>200</v>
      </c>
      <c r="D3" s="43" t="s">
        <v>201</v>
      </c>
      <c r="E3" s="43" t="s">
        <v>201</v>
      </c>
      <c r="F3" s="43" t="s">
        <v>201</v>
      </c>
      <c r="G3" s="43" t="s">
        <v>202</v>
      </c>
      <c r="H3" s="43" t="s">
        <v>202</v>
      </c>
      <c r="I3" s="43" t="s">
        <v>202</v>
      </c>
      <c r="J3" s="43" t="s">
        <v>202</v>
      </c>
      <c r="K3" s="43" t="s">
        <v>202</v>
      </c>
      <c r="L3" s="43" t="s">
        <v>203</v>
      </c>
      <c r="M3" s="43" t="s">
        <v>203</v>
      </c>
      <c r="N3" s="43" t="s">
        <v>203</v>
      </c>
      <c r="O3" s="43" t="s">
        <v>204</v>
      </c>
      <c r="P3" s="43" t="s">
        <v>204</v>
      </c>
      <c r="Q3" s="43" t="s">
        <v>204</v>
      </c>
      <c r="R3" s="43"/>
      <c r="S3" s="43"/>
      <c r="T3" s="43" t="s">
        <v>205</v>
      </c>
      <c r="U3" s="43" t="s">
        <v>205</v>
      </c>
      <c r="V3" s="43" t="s">
        <v>205</v>
      </c>
      <c r="W3" s="43" t="s">
        <v>206</v>
      </c>
      <c r="X3" s="43"/>
      <c r="Y3" s="43"/>
      <c r="Z3" s="43"/>
      <c r="AA3" s="43"/>
      <c r="AB3" s="43"/>
      <c r="AC3" s="43"/>
      <c r="AD3" s="43"/>
      <c r="AE3" s="43"/>
      <c r="AF3" s="43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44" t="s">
        <v>31</v>
      </c>
      <c r="BK3" s="316" t="s">
        <v>207</v>
      </c>
      <c r="BL3" s="45"/>
      <c r="BM3" s="1278" t="s">
        <v>0</v>
      </c>
      <c r="BN3" s="1279"/>
    </row>
    <row r="4" spans="1:66" ht="15.75">
      <c r="A4" s="1282"/>
      <c r="B4" s="132" t="s">
        <v>43</v>
      </c>
      <c r="C4" s="133" t="s">
        <v>208</v>
      </c>
      <c r="D4" s="58">
        <v>3</v>
      </c>
      <c r="E4" s="58">
        <v>9</v>
      </c>
      <c r="F4" s="58">
        <v>23</v>
      </c>
      <c r="G4" s="58">
        <v>15</v>
      </c>
      <c r="H4" s="58">
        <v>24</v>
      </c>
      <c r="I4" s="58">
        <v>29</v>
      </c>
      <c r="J4" s="58">
        <v>29</v>
      </c>
      <c r="K4" s="58">
        <v>31</v>
      </c>
      <c r="L4" s="317">
        <v>5</v>
      </c>
      <c r="M4" s="58">
        <v>12</v>
      </c>
      <c r="N4" s="58">
        <v>21</v>
      </c>
      <c r="O4" s="58">
        <v>3</v>
      </c>
      <c r="P4" s="58">
        <v>12</v>
      </c>
      <c r="Q4" s="58">
        <v>12</v>
      </c>
      <c r="R4" s="58">
        <v>19</v>
      </c>
      <c r="S4" s="58"/>
      <c r="T4" s="58">
        <v>18</v>
      </c>
      <c r="U4" s="58">
        <v>21</v>
      </c>
      <c r="V4" s="58">
        <v>21</v>
      </c>
      <c r="W4" s="58">
        <v>10</v>
      </c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9" t="s">
        <v>209</v>
      </c>
      <c r="BK4" s="318" t="s">
        <v>209</v>
      </c>
      <c r="BL4" s="45" t="s">
        <v>33</v>
      </c>
      <c r="BM4" s="60" t="s">
        <v>5</v>
      </c>
      <c r="BN4" s="60" t="s">
        <v>6</v>
      </c>
    </row>
    <row r="5" spans="1:66" ht="16.5" customHeight="1">
      <c r="A5" s="136" t="s">
        <v>44</v>
      </c>
      <c r="B5" s="319" t="s">
        <v>45</v>
      </c>
      <c r="C5" s="74" t="s">
        <v>210</v>
      </c>
      <c r="D5" s="70"/>
      <c r="E5" s="70">
        <v>5</v>
      </c>
      <c r="F5" s="70">
        <v>5</v>
      </c>
      <c r="G5" s="320" t="s">
        <v>34</v>
      </c>
      <c r="H5" s="70">
        <v>3</v>
      </c>
      <c r="I5" s="70">
        <v>5</v>
      </c>
      <c r="J5" s="70">
        <v>5</v>
      </c>
      <c r="K5" s="70">
        <v>5</v>
      </c>
      <c r="L5" s="321" t="s">
        <v>34</v>
      </c>
      <c r="M5" s="70">
        <v>5</v>
      </c>
      <c r="N5" s="70" t="s">
        <v>46</v>
      </c>
      <c r="O5" s="70" t="s">
        <v>46</v>
      </c>
      <c r="P5" s="70">
        <v>3</v>
      </c>
      <c r="Q5" s="70">
        <v>5</v>
      </c>
      <c r="R5" s="70" t="s">
        <v>46</v>
      </c>
      <c r="S5" s="70"/>
      <c r="T5" s="70">
        <v>3</v>
      </c>
      <c r="U5" s="70" t="s">
        <v>46</v>
      </c>
      <c r="V5" s="70" t="s">
        <v>46</v>
      </c>
      <c r="W5" s="70" t="s">
        <v>46</v>
      </c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322"/>
      <c r="AJ5" s="70"/>
      <c r="AK5" s="322"/>
      <c r="AL5" s="322"/>
      <c r="AM5" s="322"/>
      <c r="AN5" s="322"/>
      <c r="AO5" s="322"/>
      <c r="AP5" s="322"/>
      <c r="AQ5" s="322"/>
      <c r="AR5" s="322"/>
      <c r="AS5" s="322"/>
      <c r="AT5" s="322"/>
      <c r="AU5" s="322"/>
      <c r="AV5" s="322"/>
      <c r="AW5" s="322"/>
      <c r="AX5" s="322"/>
      <c r="AY5" s="322"/>
      <c r="AZ5" s="322"/>
      <c r="BA5" s="322"/>
      <c r="BB5" s="322"/>
      <c r="BC5" s="322"/>
      <c r="BD5" s="322"/>
      <c r="BE5" s="322"/>
      <c r="BF5" s="322"/>
      <c r="BG5" s="322"/>
      <c r="BH5" s="322"/>
      <c r="BI5" s="322"/>
      <c r="BJ5" s="323" t="s">
        <v>211</v>
      </c>
      <c r="BK5" s="202"/>
      <c r="BL5" s="76">
        <f t="shared" ref="BL5:BL9" si="0">IFERROR(AVERAGE(C5:BK5),"Нет оценок")</f>
        <v>4.4000000000000004</v>
      </c>
      <c r="BM5" s="77">
        <f t="shared" ref="BM5:BM9" si="1">COUNTIF(C5:BK5,"н/у")</f>
        <v>0</v>
      </c>
      <c r="BN5" s="77">
        <f t="shared" ref="BN5:BN9" si="2">COUNTIF(C5:BK5,"н")</f>
        <v>6</v>
      </c>
    </row>
    <row r="6" spans="1:66" ht="16.5" customHeight="1">
      <c r="A6" s="139" t="s">
        <v>49</v>
      </c>
      <c r="B6" s="324" t="s">
        <v>50</v>
      </c>
      <c r="C6" s="108" t="s">
        <v>212</v>
      </c>
      <c r="D6" s="96"/>
      <c r="E6" s="96">
        <v>5</v>
      </c>
      <c r="F6" s="93">
        <v>5</v>
      </c>
      <c r="G6" s="325" t="s">
        <v>34</v>
      </c>
      <c r="H6" s="326" t="s">
        <v>34</v>
      </c>
      <c r="I6" s="326" t="s">
        <v>34</v>
      </c>
      <c r="J6" s="326" t="s">
        <v>34</v>
      </c>
      <c r="K6" s="96">
        <v>3</v>
      </c>
      <c r="L6" s="326" t="s">
        <v>34</v>
      </c>
      <c r="M6" s="96">
        <v>5</v>
      </c>
      <c r="N6" s="96">
        <v>3</v>
      </c>
      <c r="O6" s="96">
        <v>3</v>
      </c>
      <c r="P6" s="96">
        <v>3</v>
      </c>
      <c r="Q6" s="96">
        <v>3</v>
      </c>
      <c r="R6" s="96">
        <v>5</v>
      </c>
      <c r="S6" s="96"/>
      <c r="T6" s="96" t="s">
        <v>46</v>
      </c>
      <c r="U6" s="96">
        <v>5</v>
      </c>
      <c r="V6" s="96">
        <v>5</v>
      </c>
      <c r="W6" s="96">
        <v>3</v>
      </c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327"/>
      <c r="AJ6" s="96"/>
      <c r="AK6" s="327"/>
      <c r="AL6" s="327"/>
      <c r="AM6" s="327"/>
      <c r="AN6" s="327"/>
      <c r="AO6" s="327"/>
      <c r="AP6" s="327"/>
      <c r="AQ6" s="327"/>
      <c r="AR6" s="327"/>
      <c r="AS6" s="327"/>
      <c r="AT6" s="327"/>
      <c r="AU6" s="327"/>
      <c r="AV6" s="327"/>
      <c r="AW6" s="327"/>
      <c r="AX6" s="327"/>
      <c r="AY6" s="327"/>
      <c r="AZ6" s="327"/>
      <c r="BA6" s="327"/>
      <c r="BB6" s="327"/>
      <c r="BC6" s="327"/>
      <c r="BD6" s="327"/>
      <c r="BE6" s="327"/>
      <c r="BF6" s="327"/>
      <c r="BG6" s="327"/>
      <c r="BH6" s="327"/>
      <c r="BI6" s="327"/>
      <c r="BJ6" s="328" t="s">
        <v>213</v>
      </c>
      <c r="BK6" s="329"/>
      <c r="BL6" s="76">
        <f t="shared" si="0"/>
        <v>4</v>
      </c>
      <c r="BM6" s="77">
        <f t="shared" si="1"/>
        <v>0</v>
      </c>
      <c r="BN6" s="77">
        <f t="shared" si="2"/>
        <v>1</v>
      </c>
    </row>
    <row r="7" spans="1:66" ht="16.5" customHeight="1">
      <c r="A7" s="204" t="s">
        <v>51</v>
      </c>
      <c r="B7" s="330" t="s">
        <v>52</v>
      </c>
      <c r="C7" s="74" t="s">
        <v>210</v>
      </c>
      <c r="D7" s="70"/>
      <c r="E7" s="70">
        <v>5</v>
      </c>
      <c r="F7" s="70">
        <v>5</v>
      </c>
      <c r="G7" s="96">
        <v>5</v>
      </c>
      <c r="H7" s="96">
        <v>5</v>
      </c>
      <c r="I7" s="96">
        <v>5</v>
      </c>
      <c r="J7" s="96">
        <v>5</v>
      </c>
      <c r="K7" s="70">
        <v>5</v>
      </c>
      <c r="L7" s="96">
        <v>5</v>
      </c>
      <c r="M7" s="70">
        <v>5</v>
      </c>
      <c r="N7" s="70">
        <v>5</v>
      </c>
      <c r="O7" s="70">
        <v>5</v>
      </c>
      <c r="P7" s="70">
        <v>5</v>
      </c>
      <c r="Q7" s="70">
        <v>5</v>
      </c>
      <c r="R7" s="70">
        <v>5</v>
      </c>
      <c r="S7" s="70"/>
      <c r="T7" s="70">
        <v>5</v>
      </c>
      <c r="U7" s="70">
        <v>5</v>
      </c>
      <c r="V7" s="70">
        <v>5</v>
      </c>
      <c r="W7" s="70">
        <v>5</v>
      </c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322"/>
      <c r="AJ7" s="70"/>
      <c r="AK7" s="322"/>
      <c r="AL7" s="322"/>
      <c r="AM7" s="322"/>
      <c r="AN7" s="322"/>
      <c r="AO7" s="322"/>
      <c r="AP7" s="322"/>
      <c r="AQ7" s="322"/>
      <c r="AR7" s="322"/>
      <c r="AS7" s="322"/>
      <c r="AT7" s="322"/>
      <c r="AU7" s="322"/>
      <c r="AV7" s="322"/>
      <c r="AW7" s="322"/>
      <c r="AX7" s="322"/>
      <c r="AY7" s="322"/>
      <c r="AZ7" s="322"/>
      <c r="BA7" s="322"/>
      <c r="BB7" s="322"/>
      <c r="BC7" s="322"/>
      <c r="BD7" s="322"/>
      <c r="BE7" s="322"/>
      <c r="BF7" s="322"/>
      <c r="BG7" s="322"/>
      <c r="BH7" s="322"/>
      <c r="BI7" s="322"/>
      <c r="BJ7" s="323" t="s">
        <v>213</v>
      </c>
      <c r="BK7" s="202"/>
      <c r="BL7" s="76">
        <f t="shared" si="0"/>
        <v>5</v>
      </c>
      <c r="BM7" s="77">
        <f t="shared" si="1"/>
        <v>0</v>
      </c>
      <c r="BN7" s="77">
        <f t="shared" si="2"/>
        <v>0</v>
      </c>
    </row>
    <row r="8" spans="1:66" ht="16.5" customHeight="1">
      <c r="A8" s="144" t="s">
        <v>53</v>
      </c>
      <c r="B8" s="330" t="s">
        <v>54</v>
      </c>
      <c r="C8" s="74" t="s">
        <v>210</v>
      </c>
      <c r="D8" s="70"/>
      <c r="E8" s="70">
        <v>3</v>
      </c>
      <c r="F8" s="70">
        <v>3</v>
      </c>
      <c r="G8" s="70">
        <v>5</v>
      </c>
      <c r="H8" s="331" t="s">
        <v>34</v>
      </c>
      <c r="I8" s="70">
        <v>3</v>
      </c>
      <c r="J8" s="70">
        <v>5</v>
      </c>
      <c r="K8" s="70">
        <v>5</v>
      </c>
      <c r="L8" s="70">
        <v>5</v>
      </c>
      <c r="M8" s="70">
        <v>5</v>
      </c>
      <c r="N8" s="70">
        <v>5</v>
      </c>
      <c r="O8" s="70">
        <v>5</v>
      </c>
      <c r="P8" s="70">
        <v>5</v>
      </c>
      <c r="Q8" s="70">
        <v>5</v>
      </c>
      <c r="R8" s="70"/>
      <c r="S8" s="70"/>
      <c r="T8" s="70">
        <v>5</v>
      </c>
      <c r="U8" s="70">
        <v>5</v>
      </c>
      <c r="V8" s="70">
        <v>5</v>
      </c>
      <c r="W8" s="70" t="s">
        <v>46</v>
      </c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322"/>
      <c r="AJ8" s="70"/>
      <c r="AK8" s="322"/>
      <c r="AL8" s="322"/>
      <c r="AM8" s="322"/>
      <c r="AN8" s="322"/>
      <c r="AO8" s="322"/>
      <c r="AP8" s="322"/>
      <c r="AQ8" s="322"/>
      <c r="AR8" s="322"/>
      <c r="AS8" s="322"/>
      <c r="AT8" s="322"/>
      <c r="AU8" s="322"/>
      <c r="AV8" s="322"/>
      <c r="AW8" s="322"/>
      <c r="AX8" s="322"/>
      <c r="AY8" s="322"/>
      <c r="AZ8" s="322"/>
      <c r="BA8" s="322"/>
      <c r="BB8" s="322"/>
      <c r="BC8" s="322"/>
      <c r="BD8" s="322"/>
      <c r="BE8" s="322"/>
      <c r="BF8" s="322"/>
      <c r="BG8" s="322"/>
      <c r="BH8" s="322"/>
      <c r="BI8" s="322"/>
      <c r="BJ8" s="323" t="s">
        <v>213</v>
      </c>
      <c r="BK8" s="202"/>
      <c r="BL8" s="76">
        <f t="shared" si="0"/>
        <v>4.5999999999999996</v>
      </c>
      <c r="BM8" s="77">
        <f t="shared" si="1"/>
        <v>0</v>
      </c>
      <c r="BN8" s="77">
        <f t="shared" si="2"/>
        <v>1</v>
      </c>
    </row>
    <row r="9" spans="1:66" ht="16.5" customHeight="1">
      <c r="A9" s="146" t="s">
        <v>55</v>
      </c>
      <c r="B9" s="332" t="s">
        <v>56</v>
      </c>
      <c r="C9" s="105" t="s">
        <v>210</v>
      </c>
      <c r="D9" s="119"/>
      <c r="E9" s="333" t="s">
        <v>34</v>
      </c>
      <c r="F9" s="119">
        <v>3</v>
      </c>
      <c r="G9" s="119">
        <v>5</v>
      </c>
      <c r="H9" s="119">
        <v>5</v>
      </c>
      <c r="I9" s="119">
        <v>5</v>
      </c>
      <c r="J9" s="119">
        <v>5</v>
      </c>
      <c r="K9" s="119">
        <v>5</v>
      </c>
      <c r="L9" s="119">
        <v>5</v>
      </c>
      <c r="M9" s="119">
        <v>5</v>
      </c>
      <c r="N9" s="119">
        <v>5</v>
      </c>
      <c r="O9" s="119">
        <v>5</v>
      </c>
      <c r="P9" s="119">
        <v>5</v>
      </c>
      <c r="Q9" s="119">
        <v>5</v>
      </c>
      <c r="R9" s="119">
        <v>5</v>
      </c>
      <c r="S9" s="119"/>
      <c r="T9" s="119">
        <v>5</v>
      </c>
      <c r="U9" s="119">
        <v>5</v>
      </c>
      <c r="V9" s="119">
        <v>5</v>
      </c>
      <c r="W9" s="119" t="s">
        <v>46</v>
      </c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334" t="s">
        <v>213</v>
      </c>
      <c r="BK9" s="220"/>
      <c r="BL9" s="76">
        <f t="shared" si="0"/>
        <v>4.875</v>
      </c>
      <c r="BM9" s="77">
        <f t="shared" si="1"/>
        <v>0</v>
      </c>
      <c r="BN9" s="77">
        <f t="shared" si="2"/>
        <v>1</v>
      </c>
    </row>
    <row r="10" spans="1:66" ht="16.5" customHeight="1">
      <c r="A10" s="149" t="s">
        <v>57</v>
      </c>
      <c r="B10" s="335" t="s">
        <v>58</v>
      </c>
      <c r="C10" s="108" t="s">
        <v>210</v>
      </c>
      <c r="D10" s="96"/>
      <c r="E10" s="96">
        <v>5</v>
      </c>
      <c r="F10" s="96">
        <v>5</v>
      </c>
      <c r="G10" s="96">
        <v>5</v>
      </c>
      <c r="H10" s="96">
        <v>5</v>
      </c>
      <c r="I10" s="96">
        <v>5</v>
      </c>
      <c r="J10" s="96">
        <v>5</v>
      </c>
      <c r="K10" s="96">
        <v>5</v>
      </c>
      <c r="L10" s="96">
        <v>5</v>
      </c>
      <c r="M10" s="96">
        <v>5</v>
      </c>
      <c r="N10" s="96">
        <v>5</v>
      </c>
      <c r="O10" s="96">
        <v>5</v>
      </c>
      <c r="P10" s="96">
        <v>5</v>
      </c>
      <c r="Q10" s="96">
        <v>5</v>
      </c>
      <c r="R10" s="96">
        <v>5</v>
      </c>
      <c r="S10" s="96"/>
      <c r="T10" s="96">
        <v>5</v>
      </c>
      <c r="U10" s="96">
        <v>5</v>
      </c>
      <c r="V10" s="96">
        <v>5</v>
      </c>
      <c r="W10" s="96">
        <v>5</v>
      </c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336" t="s">
        <v>213</v>
      </c>
      <c r="BK10" s="235"/>
      <c r="BL10" s="76">
        <f t="shared" ref="BL10:BL28" si="3">IFERROR(AVERAGE(C10:BK10),"Нет оценок")</f>
        <v>5</v>
      </c>
      <c r="BM10" s="77">
        <f t="shared" ref="BM10:BM28" si="4">COUNTIF(C10:BK10,"н/у")</f>
        <v>0</v>
      </c>
      <c r="BN10" s="77">
        <f t="shared" ref="BN10:BN28" si="5">COUNTIF(C10:BK10,"н")</f>
        <v>0</v>
      </c>
    </row>
    <row r="11" spans="1:66" ht="16.5" customHeight="1">
      <c r="A11" s="144" t="s">
        <v>59</v>
      </c>
      <c r="B11" s="330" t="s">
        <v>60</v>
      </c>
      <c r="C11" s="74" t="s">
        <v>210</v>
      </c>
      <c r="D11" s="70"/>
      <c r="E11" s="70">
        <v>5</v>
      </c>
      <c r="F11" s="70">
        <v>5</v>
      </c>
      <c r="G11" s="70">
        <v>5</v>
      </c>
      <c r="H11" s="70">
        <v>5</v>
      </c>
      <c r="I11" s="70">
        <v>5</v>
      </c>
      <c r="J11" s="70">
        <v>5</v>
      </c>
      <c r="K11" s="70">
        <v>5</v>
      </c>
      <c r="L11" s="70">
        <v>5</v>
      </c>
      <c r="M11" s="70">
        <v>5</v>
      </c>
      <c r="N11" s="72" t="s">
        <v>48</v>
      </c>
      <c r="O11" s="70">
        <v>5</v>
      </c>
      <c r="P11" s="70">
        <v>5</v>
      </c>
      <c r="Q11" s="70">
        <v>5</v>
      </c>
      <c r="R11" s="70">
        <v>5</v>
      </c>
      <c r="S11" s="70"/>
      <c r="T11" s="70">
        <v>5</v>
      </c>
      <c r="U11" s="70" t="s">
        <v>46</v>
      </c>
      <c r="V11" s="70" t="s">
        <v>46</v>
      </c>
      <c r="W11" s="70">
        <v>5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337" t="s">
        <v>213</v>
      </c>
      <c r="BK11" s="237"/>
      <c r="BL11" s="76">
        <f t="shared" si="3"/>
        <v>5</v>
      </c>
      <c r="BM11" s="77">
        <f t="shared" si="4"/>
        <v>1</v>
      </c>
      <c r="BN11" s="77">
        <f t="shared" si="5"/>
        <v>2</v>
      </c>
    </row>
    <row r="12" spans="1:66" ht="16.5" customHeight="1">
      <c r="A12" s="144" t="s">
        <v>61</v>
      </c>
      <c r="B12" s="330" t="s">
        <v>62</v>
      </c>
      <c r="C12" s="74" t="s">
        <v>210</v>
      </c>
      <c r="D12" s="70"/>
      <c r="E12" s="331" t="s">
        <v>34</v>
      </c>
      <c r="F12" s="331" t="s">
        <v>34</v>
      </c>
      <c r="G12" s="70">
        <v>5</v>
      </c>
      <c r="H12" s="70">
        <v>5</v>
      </c>
      <c r="I12" s="70">
        <v>3</v>
      </c>
      <c r="J12" s="70">
        <v>5</v>
      </c>
      <c r="K12" s="70">
        <v>5</v>
      </c>
      <c r="L12" s="70">
        <v>3</v>
      </c>
      <c r="M12" s="70">
        <v>4</v>
      </c>
      <c r="N12" s="70">
        <v>5</v>
      </c>
      <c r="O12" s="70">
        <v>5</v>
      </c>
      <c r="P12" s="70">
        <v>5</v>
      </c>
      <c r="Q12" s="70">
        <v>5</v>
      </c>
      <c r="R12" s="70">
        <v>5</v>
      </c>
      <c r="S12" s="70"/>
      <c r="T12" s="70">
        <v>5</v>
      </c>
      <c r="U12" s="70" t="s">
        <v>46</v>
      </c>
      <c r="V12" s="70" t="s">
        <v>46</v>
      </c>
      <c r="W12" s="70">
        <v>3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337" t="s">
        <v>213</v>
      </c>
      <c r="BK12" s="237"/>
      <c r="BL12" s="76">
        <f t="shared" si="3"/>
        <v>4.5</v>
      </c>
      <c r="BM12" s="77">
        <f t="shared" si="4"/>
        <v>0</v>
      </c>
      <c r="BN12" s="77">
        <f t="shared" si="5"/>
        <v>2</v>
      </c>
    </row>
    <row r="13" spans="1:66" ht="16.5" customHeight="1">
      <c r="A13" s="144" t="s">
        <v>63</v>
      </c>
      <c r="B13" s="338" t="s">
        <v>64</v>
      </c>
      <c r="C13" s="108" t="s">
        <v>210</v>
      </c>
      <c r="D13" s="96"/>
      <c r="E13" s="96">
        <v>5</v>
      </c>
      <c r="F13" s="96">
        <v>3</v>
      </c>
      <c r="G13" s="326" t="s">
        <v>34</v>
      </c>
      <c r="H13" s="96">
        <v>3</v>
      </c>
      <c r="I13" s="339" t="s">
        <v>34</v>
      </c>
      <c r="J13" s="339" t="s">
        <v>34</v>
      </c>
      <c r="K13" s="339" t="s">
        <v>34</v>
      </c>
      <c r="L13" s="96">
        <v>3</v>
      </c>
      <c r="M13" s="96">
        <v>5</v>
      </c>
      <c r="N13" s="96">
        <v>3</v>
      </c>
      <c r="O13" s="96">
        <v>5</v>
      </c>
      <c r="P13" s="96" t="s">
        <v>46</v>
      </c>
      <c r="Q13" s="96" t="s">
        <v>46</v>
      </c>
      <c r="R13" s="96" t="s">
        <v>46</v>
      </c>
      <c r="S13" s="96"/>
      <c r="T13" s="96" t="s">
        <v>46</v>
      </c>
      <c r="U13" s="96" t="s">
        <v>46</v>
      </c>
      <c r="V13" s="96" t="s">
        <v>46</v>
      </c>
      <c r="W13" s="96" t="s">
        <v>46</v>
      </c>
      <c r="X13" s="96"/>
      <c r="Y13" s="96"/>
      <c r="Z13" s="96"/>
      <c r="AA13" s="96"/>
      <c r="AB13" s="96"/>
      <c r="AC13" s="238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336" t="s">
        <v>211</v>
      </c>
      <c r="BK13" s="235"/>
      <c r="BL13" s="76">
        <f t="shared" si="3"/>
        <v>3.8571428571428572</v>
      </c>
      <c r="BM13" s="77">
        <f t="shared" si="4"/>
        <v>0</v>
      </c>
      <c r="BN13" s="77">
        <f t="shared" si="5"/>
        <v>7</v>
      </c>
    </row>
    <row r="14" spans="1:66" ht="16.5" customHeight="1">
      <c r="A14" s="146" t="s">
        <v>65</v>
      </c>
      <c r="B14" s="340" t="s">
        <v>66</v>
      </c>
      <c r="C14" s="101" t="s">
        <v>212</v>
      </c>
      <c r="D14" s="103"/>
      <c r="E14" s="103">
        <v>5</v>
      </c>
      <c r="F14" s="103">
        <v>5</v>
      </c>
      <c r="G14" s="119">
        <v>5</v>
      </c>
      <c r="H14" s="341" t="s">
        <v>34</v>
      </c>
      <c r="I14" s="119">
        <v>3</v>
      </c>
      <c r="J14" s="119">
        <v>5</v>
      </c>
      <c r="K14" s="119">
        <v>5</v>
      </c>
      <c r="L14" s="103">
        <v>5</v>
      </c>
      <c r="M14" s="103">
        <v>5</v>
      </c>
      <c r="N14" s="103"/>
      <c r="O14" s="103">
        <v>5</v>
      </c>
      <c r="P14" s="103">
        <v>5</v>
      </c>
      <c r="Q14" s="103">
        <v>5</v>
      </c>
      <c r="R14" s="103"/>
      <c r="S14" s="103"/>
      <c r="T14" s="103">
        <v>5</v>
      </c>
      <c r="U14" s="103">
        <v>5</v>
      </c>
      <c r="V14" s="103">
        <v>5</v>
      </c>
      <c r="W14" s="103">
        <v>5</v>
      </c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342" t="s">
        <v>213</v>
      </c>
      <c r="BK14" s="250"/>
      <c r="BL14" s="76">
        <f t="shared" si="3"/>
        <v>4.8666666666666663</v>
      </c>
      <c r="BM14" s="77">
        <f t="shared" si="4"/>
        <v>0</v>
      </c>
      <c r="BN14" s="77">
        <f t="shared" si="5"/>
        <v>0</v>
      </c>
    </row>
    <row r="15" spans="1:66" ht="16.5" customHeight="1">
      <c r="A15" s="149" t="s">
        <v>67</v>
      </c>
      <c r="B15" s="335" t="s">
        <v>68</v>
      </c>
      <c r="C15" s="108" t="s">
        <v>210</v>
      </c>
      <c r="D15" s="96"/>
      <c r="E15" s="96">
        <v>5</v>
      </c>
      <c r="F15" s="143" t="s">
        <v>48</v>
      </c>
      <c r="G15" s="96">
        <v>5</v>
      </c>
      <c r="H15" s="96">
        <v>5</v>
      </c>
      <c r="I15" s="96">
        <v>5</v>
      </c>
      <c r="J15" s="96">
        <v>5</v>
      </c>
      <c r="K15" s="96">
        <v>5</v>
      </c>
      <c r="L15" s="96">
        <v>5</v>
      </c>
      <c r="M15" s="96">
        <v>5</v>
      </c>
      <c r="N15" s="96">
        <v>5</v>
      </c>
      <c r="O15" s="96">
        <v>5</v>
      </c>
      <c r="P15" s="96">
        <v>5</v>
      </c>
      <c r="Q15" s="96">
        <v>5</v>
      </c>
      <c r="R15" s="96"/>
      <c r="S15" s="96"/>
      <c r="T15" s="96" t="s">
        <v>46</v>
      </c>
      <c r="U15" s="96">
        <v>5</v>
      </c>
      <c r="V15" s="96">
        <v>5</v>
      </c>
      <c r="W15" s="96">
        <v>5</v>
      </c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336" t="s">
        <v>213</v>
      </c>
      <c r="BK15" s="235"/>
      <c r="BL15" s="76">
        <f t="shared" si="3"/>
        <v>5</v>
      </c>
      <c r="BM15" s="77">
        <f t="shared" si="4"/>
        <v>1</v>
      </c>
      <c r="BN15" s="77">
        <f t="shared" si="5"/>
        <v>1</v>
      </c>
    </row>
    <row r="16" spans="1:66" ht="16.5" customHeight="1">
      <c r="A16" s="144" t="s">
        <v>69</v>
      </c>
      <c r="B16" s="330" t="s">
        <v>70</v>
      </c>
      <c r="C16" s="74" t="s">
        <v>210</v>
      </c>
      <c r="D16" s="70"/>
      <c r="E16" s="70">
        <v>5</v>
      </c>
      <c r="F16" s="70">
        <v>5</v>
      </c>
      <c r="G16" s="70">
        <v>5</v>
      </c>
      <c r="H16" s="70">
        <v>5</v>
      </c>
      <c r="I16" s="70">
        <v>5</v>
      </c>
      <c r="J16" s="70">
        <v>5</v>
      </c>
      <c r="K16" s="70">
        <v>5</v>
      </c>
      <c r="L16" s="70">
        <v>5</v>
      </c>
      <c r="M16" s="70">
        <v>5</v>
      </c>
      <c r="N16" s="143" t="s">
        <v>48</v>
      </c>
      <c r="O16" s="70">
        <v>5</v>
      </c>
      <c r="P16" s="70">
        <v>5</v>
      </c>
      <c r="Q16" s="70">
        <v>5</v>
      </c>
      <c r="R16" s="70"/>
      <c r="S16" s="70"/>
      <c r="T16" s="70">
        <v>5</v>
      </c>
      <c r="U16" s="70" t="s">
        <v>46</v>
      </c>
      <c r="V16" s="70" t="s">
        <v>46</v>
      </c>
      <c r="W16" s="70">
        <v>5</v>
      </c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337" t="s">
        <v>213</v>
      </c>
      <c r="BK16" s="237"/>
      <c r="BL16" s="76">
        <f t="shared" si="3"/>
        <v>5</v>
      </c>
      <c r="BM16" s="77">
        <f t="shared" si="4"/>
        <v>1</v>
      </c>
      <c r="BN16" s="77">
        <f t="shared" si="5"/>
        <v>2</v>
      </c>
    </row>
    <row r="17" spans="1:66" ht="16.5" customHeight="1">
      <c r="A17" s="144" t="s">
        <v>71</v>
      </c>
      <c r="B17" s="343" t="s">
        <v>72</v>
      </c>
      <c r="C17" s="121" t="s">
        <v>210</v>
      </c>
      <c r="D17" s="344" t="s">
        <v>34</v>
      </c>
      <c r="E17" s="345" t="s">
        <v>34</v>
      </c>
      <c r="F17" s="344" t="s">
        <v>34</v>
      </c>
      <c r="G17" s="345" t="s">
        <v>34</v>
      </c>
      <c r="H17" s="344" t="s">
        <v>34</v>
      </c>
      <c r="I17" s="321" t="s">
        <v>34</v>
      </c>
      <c r="J17" s="346" t="s">
        <v>34</v>
      </c>
      <c r="K17" s="347" t="s">
        <v>34</v>
      </c>
      <c r="L17" s="346" t="s">
        <v>34</v>
      </c>
      <c r="M17" s="348" t="s">
        <v>34</v>
      </c>
      <c r="N17" s="321" t="s">
        <v>34</v>
      </c>
      <c r="O17" s="349">
        <v>3</v>
      </c>
      <c r="P17" s="349">
        <v>3</v>
      </c>
      <c r="Q17" s="349">
        <v>3</v>
      </c>
      <c r="R17" s="349"/>
      <c r="S17" s="349"/>
      <c r="T17" s="349" t="s">
        <v>46</v>
      </c>
      <c r="U17" s="349" t="s">
        <v>46</v>
      </c>
      <c r="V17" s="349" t="s">
        <v>46</v>
      </c>
      <c r="W17" s="349" t="s">
        <v>46</v>
      </c>
      <c r="X17" s="349"/>
      <c r="Y17" s="349"/>
      <c r="Z17" s="349"/>
      <c r="AA17" s="349"/>
      <c r="AB17" s="349"/>
      <c r="AC17" s="349"/>
      <c r="AD17" s="349"/>
      <c r="AE17" s="349"/>
      <c r="AF17" s="349"/>
      <c r="AG17" s="349"/>
      <c r="AH17" s="349"/>
      <c r="AI17" s="349"/>
      <c r="AJ17" s="349"/>
      <c r="AK17" s="349"/>
      <c r="AL17" s="349"/>
      <c r="AM17" s="349"/>
      <c r="AN17" s="349"/>
      <c r="AO17" s="349"/>
      <c r="AP17" s="349"/>
      <c r="AQ17" s="349"/>
      <c r="AR17" s="349"/>
      <c r="AS17" s="349"/>
      <c r="AT17" s="349"/>
      <c r="AU17" s="349"/>
      <c r="AV17" s="349"/>
      <c r="AW17" s="349"/>
      <c r="AX17" s="349"/>
      <c r="AY17" s="349"/>
      <c r="AZ17" s="349"/>
      <c r="BA17" s="349"/>
      <c r="BB17" s="349"/>
      <c r="BC17" s="349"/>
      <c r="BD17" s="349"/>
      <c r="BE17" s="349"/>
      <c r="BF17" s="349"/>
      <c r="BG17" s="349"/>
      <c r="BH17" s="349"/>
      <c r="BI17" s="349"/>
      <c r="BJ17" s="337" t="s">
        <v>214</v>
      </c>
      <c r="BK17" s="237"/>
      <c r="BL17" s="76">
        <f t="shared" si="3"/>
        <v>3</v>
      </c>
      <c r="BM17" s="77">
        <f t="shared" si="4"/>
        <v>0</v>
      </c>
      <c r="BN17" s="77">
        <f t="shared" si="5"/>
        <v>4</v>
      </c>
    </row>
    <row r="18" spans="1:66" ht="16.5" customHeight="1">
      <c r="A18" s="144" t="s">
        <v>73</v>
      </c>
      <c r="B18" s="335" t="s">
        <v>74</v>
      </c>
      <c r="C18" s="108" t="s">
        <v>212</v>
      </c>
      <c r="D18" s="96"/>
      <c r="E18" s="96">
        <v>5</v>
      </c>
      <c r="F18" s="96">
        <v>5</v>
      </c>
      <c r="G18" s="96">
        <v>5</v>
      </c>
      <c r="H18" s="93">
        <v>5</v>
      </c>
      <c r="I18" s="325" t="s">
        <v>34</v>
      </c>
      <c r="J18" s="350" t="s">
        <v>34</v>
      </c>
      <c r="K18" s="96">
        <v>5</v>
      </c>
      <c r="L18" s="96">
        <v>3</v>
      </c>
      <c r="M18" s="96">
        <v>5</v>
      </c>
      <c r="N18" s="96">
        <v>5</v>
      </c>
      <c r="O18" s="96">
        <v>5</v>
      </c>
      <c r="P18" s="96">
        <v>5</v>
      </c>
      <c r="Q18" s="96">
        <v>5</v>
      </c>
      <c r="R18" s="96"/>
      <c r="S18" s="96"/>
      <c r="T18" s="96">
        <v>5</v>
      </c>
      <c r="U18" s="96">
        <v>5</v>
      </c>
      <c r="V18" s="96">
        <v>5</v>
      </c>
      <c r="W18" s="96" t="s">
        <v>46</v>
      </c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336" t="s">
        <v>213</v>
      </c>
      <c r="BK18" s="235"/>
      <c r="BL18" s="76">
        <f t="shared" si="3"/>
        <v>4.8571428571428568</v>
      </c>
      <c r="BM18" s="77">
        <f t="shared" si="4"/>
        <v>0</v>
      </c>
      <c r="BN18" s="77">
        <f t="shared" si="5"/>
        <v>1</v>
      </c>
    </row>
    <row r="19" spans="1:66" ht="16.5" customHeight="1">
      <c r="A19" s="146" t="s">
        <v>75</v>
      </c>
      <c r="B19" s="340" t="s">
        <v>76</v>
      </c>
      <c r="C19" s="101" t="s">
        <v>210</v>
      </c>
      <c r="D19" s="103"/>
      <c r="E19" s="103">
        <v>5</v>
      </c>
      <c r="F19" s="103">
        <v>5</v>
      </c>
      <c r="G19" s="103">
        <v>5</v>
      </c>
      <c r="H19" s="103">
        <v>5</v>
      </c>
      <c r="I19" s="119">
        <v>5</v>
      </c>
      <c r="J19" s="119">
        <v>5</v>
      </c>
      <c r="K19" s="103">
        <v>5</v>
      </c>
      <c r="L19" s="326" t="s">
        <v>34</v>
      </c>
      <c r="M19" s="103">
        <v>4</v>
      </c>
      <c r="N19" s="103">
        <v>5</v>
      </c>
      <c r="O19" s="103">
        <v>3</v>
      </c>
      <c r="P19" s="103">
        <v>5</v>
      </c>
      <c r="Q19" s="103">
        <v>5</v>
      </c>
      <c r="R19" s="103"/>
      <c r="S19" s="103"/>
      <c r="T19" s="103">
        <v>5</v>
      </c>
      <c r="U19" s="103">
        <v>5</v>
      </c>
      <c r="V19" s="103">
        <v>5</v>
      </c>
      <c r="W19" s="103">
        <v>5</v>
      </c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342" t="s">
        <v>213</v>
      </c>
      <c r="BK19" s="250"/>
      <c r="BL19" s="76">
        <f t="shared" si="3"/>
        <v>4.8125</v>
      </c>
      <c r="BM19" s="77">
        <f t="shared" si="4"/>
        <v>0</v>
      </c>
      <c r="BN19" s="77">
        <f t="shared" si="5"/>
        <v>0</v>
      </c>
    </row>
    <row r="20" spans="1:66" ht="16.5" customHeight="1">
      <c r="A20" s="149" t="s">
        <v>77</v>
      </c>
      <c r="B20" s="335" t="s">
        <v>78</v>
      </c>
      <c r="C20" s="108" t="s">
        <v>210</v>
      </c>
      <c r="D20" s="96"/>
      <c r="E20" s="96">
        <v>5</v>
      </c>
      <c r="F20" s="96">
        <v>5</v>
      </c>
      <c r="G20" s="96">
        <v>5</v>
      </c>
      <c r="H20" s="96">
        <v>5</v>
      </c>
      <c r="I20" s="96">
        <v>5</v>
      </c>
      <c r="J20" s="96">
        <v>5</v>
      </c>
      <c r="K20" s="96">
        <v>5</v>
      </c>
      <c r="L20" s="96">
        <v>5</v>
      </c>
      <c r="M20" s="96">
        <v>5</v>
      </c>
      <c r="N20" s="96">
        <v>5</v>
      </c>
      <c r="O20" s="96">
        <v>5</v>
      </c>
      <c r="P20" s="96"/>
      <c r="Q20" s="96"/>
      <c r="R20" s="96"/>
      <c r="S20" s="96"/>
      <c r="T20" s="96">
        <v>5</v>
      </c>
      <c r="U20" s="96" t="s">
        <v>46</v>
      </c>
      <c r="V20" s="96" t="s">
        <v>46</v>
      </c>
      <c r="W20" s="96">
        <v>5</v>
      </c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336" t="s">
        <v>213</v>
      </c>
      <c r="BK20" s="235"/>
      <c r="BL20" s="76">
        <f t="shared" si="3"/>
        <v>5</v>
      </c>
      <c r="BM20" s="77">
        <f t="shared" si="4"/>
        <v>0</v>
      </c>
      <c r="BN20" s="77">
        <f t="shared" si="5"/>
        <v>2</v>
      </c>
    </row>
    <row r="21" spans="1:66" ht="16.5" customHeight="1">
      <c r="A21" s="144" t="s">
        <v>79</v>
      </c>
      <c r="B21" s="330" t="s">
        <v>80</v>
      </c>
      <c r="C21" s="74" t="s">
        <v>210</v>
      </c>
      <c r="D21" s="70"/>
      <c r="E21" s="70">
        <v>5</v>
      </c>
      <c r="F21" s="70">
        <v>5</v>
      </c>
      <c r="G21" s="351" t="s">
        <v>34</v>
      </c>
      <c r="H21" s="70">
        <v>5</v>
      </c>
      <c r="I21" s="70">
        <v>3</v>
      </c>
      <c r="J21" s="70">
        <v>5</v>
      </c>
      <c r="K21" s="70">
        <v>4</v>
      </c>
      <c r="L21" s="70">
        <v>3</v>
      </c>
      <c r="M21" s="70">
        <v>5</v>
      </c>
      <c r="N21" s="70">
        <v>5</v>
      </c>
      <c r="O21" s="70">
        <v>5</v>
      </c>
      <c r="P21" s="70">
        <v>5</v>
      </c>
      <c r="Q21" s="70">
        <v>5</v>
      </c>
      <c r="R21" s="70"/>
      <c r="S21" s="70"/>
      <c r="T21" s="70">
        <v>5</v>
      </c>
      <c r="U21" s="70">
        <v>5</v>
      </c>
      <c r="V21" s="70">
        <v>5</v>
      </c>
      <c r="W21" s="70">
        <v>3</v>
      </c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337" t="s">
        <v>213</v>
      </c>
      <c r="BK21" s="237"/>
      <c r="BL21" s="76">
        <f t="shared" si="3"/>
        <v>4.5625</v>
      </c>
      <c r="BM21" s="77">
        <f t="shared" si="4"/>
        <v>0</v>
      </c>
      <c r="BN21" s="77">
        <f t="shared" si="5"/>
        <v>0</v>
      </c>
    </row>
    <row r="22" spans="1:66" ht="16.5" customHeight="1">
      <c r="A22" s="144" t="s">
        <v>81</v>
      </c>
      <c r="B22" s="330" t="s">
        <v>82</v>
      </c>
      <c r="C22" s="74" t="s">
        <v>210</v>
      </c>
      <c r="D22" s="70"/>
      <c r="E22" s="70">
        <v>5</v>
      </c>
      <c r="F22" s="70">
        <v>5</v>
      </c>
      <c r="G22" s="331" t="s">
        <v>34</v>
      </c>
      <c r="H22" s="331" t="s">
        <v>34</v>
      </c>
      <c r="I22" s="70">
        <v>3</v>
      </c>
      <c r="J22" s="70">
        <v>5</v>
      </c>
      <c r="K22" s="70">
        <v>5</v>
      </c>
      <c r="L22" s="70">
        <v>5</v>
      </c>
      <c r="M22" s="70">
        <v>5</v>
      </c>
      <c r="N22" s="70"/>
      <c r="O22" s="348" t="s">
        <v>34</v>
      </c>
      <c r="P22" s="70">
        <v>5</v>
      </c>
      <c r="Q22" s="70">
        <v>5</v>
      </c>
      <c r="R22" s="70"/>
      <c r="S22" s="70"/>
      <c r="T22" s="70">
        <v>5</v>
      </c>
      <c r="U22" s="70" t="s">
        <v>46</v>
      </c>
      <c r="V22" s="70" t="s">
        <v>46</v>
      </c>
      <c r="W22" s="70">
        <v>5</v>
      </c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337" t="s">
        <v>213</v>
      </c>
      <c r="BK22" s="237"/>
      <c r="BL22" s="76">
        <f t="shared" si="3"/>
        <v>4.8181818181818183</v>
      </c>
      <c r="BM22" s="77">
        <f t="shared" si="4"/>
        <v>0</v>
      </c>
      <c r="BN22" s="77">
        <f t="shared" si="5"/>
        <v>2</v>
      </c>
    </row>
    <row r="23" spans="1:66" ht="16.5" customHeight="1">
      <c r="A23" s="144" t="s">
        <v>83</v>
      </c>
      <c r="B23" s="338" t="s">
        <v>84</v>
      </c>
      <c r="C23" s="352" t="s">
        <v>215</v>
      </c>
      <c r="D23" s="353" t="s">
        <v>46</v>
      </c>
      <c r="E23" s="353" t="s">
        <v>46</v>
      </c>
      <c r="F23" s="353" t="s">
        <v>46</v>
      </c>
      <c r="G23" s="353" t="s">
        <v>46</v>
      </c>
      <c r="H23" s="353" t="s">
        <v>46</v>
      </c>
      <c r="I23" s="353" t="s">
        <v>46</v>
      </c>
      <c r="J23" s="353" t="s">
        <v>46</v>
      </c>
      <c r="K23" s="353" t="s">
        <v>46</v>
      </c>
      <c r="L23" s="353" t="s">
        <v>46</v>
      </c>
      <c r="M23" s="353" t="s">
        <v>46</v>
      </c>
      <c r="N23" s="354" t="s">
        <v>46</v>
      </c>
      <c r="O23" s="353" t="s">
        <v>46</v>
      </c>
      <c r="P23" s="353" t="s">
        <v>46</v>
      </c>
      <c r="Q23" s="353" t="s">
        <v>46</v>
      </c>
      <c r="R23" s="353"/>
      <c r="S23" s="353"/>
      <c r="T23" s="353" t="s">
        <v>46</v>
      </c>
      <c r="U23" s="353">
        <v>5</v>
      </c>
      <c r="V23" s="353">
        <v>5</v>
      </c>
      <c r="W23" s="353" t="s">
        <v>46</v>
      </c>
      <c r="X23" s="353"/>
      <c r="Y23" s="353"/>
      <c r="Z23" s="353"/>
      <c r="AA23" s="353"/>
      <c r="AB23" s="353"/>
      <c r="AC23" s="353"/>
      <c r="AD23" s="353"/>
      <c r="AE23" s="353"/>
      <c r="AF23" s="353"/>
      <c r="AG23" s="353"/>
      <c r="AH23" s="353"/>
      <c r="AI23" s="353"/>
      <c r="AJ23" s="353"/>
      <c r="AK23" s="353"/>
      <c r="AL23" s="353"/>
      <c r="AM23" s="353"/>
      <c r="AN23" s="353"/>
      <c r="AO23" s="353"/>
      <c r="AP23" s="353"/>
      <c r="AQ23" s="353"/>
      <c r="AR23" s="353"/>
      <c r="AS23" s="353"/>
      <c r="AT23" s="353"/>
      <c r="AU23" s="353"/>
      <c r="AV23" s="353"/>
      <c r="AW23" s="353"/>
      <c r="AX23" s="353"/>
      <c r="AY23" s="353"/>
      <c r="AZ23" s="353"/>
      <c r="BA23" s="353"/>
      <c r="BB23" s="353"/>
      <c r="BC23" s="353"/>
      <c r="BD23" s="353"/>
      <c r="BE23" s="353"/>
      <c r="BF23" s="353"/>
      <c r="BG23" s="353"/>
      <c r="BH23" s="353"/>
      <c r="BI23" s="353"/>
      <c r="BJ23" s="336" t="s">
        <v>211</v>
      </c>
      <c r="BK23" s="235"/>
      <c r="BL23" s="76">
        <f t="shared" si="3"/>
        <v>5</v>
      </c>
      <c r="BM23" s="77">
        <f t="shared" si="4"/>
        <v>0</v>
      </c>
      <c r="BN23" s="77">
        <f t="shared" si="5"/>
        <v>16</v>
      </c>
    </row>
    <row r="24" spans="1:66" ht="16.5" customHeight="1">
      <c r="A24" s="154" t="s">
        <v>27</v>
      </c>
      <c r="B24" s="340" t="s">
        <v>85</v>
      </c>
      <c r="C24" s="101" t="s">
        <v>210</v>
      </c>
      <c r="D24" s="103"/>
      <c r="E24" s="103">
        <v>5</v>
      </c>
      <c r="F24" s="103">
        <v>5</v>
      </c>
      <c r="G24" s="103">
        <v>5</v>
      </c>
      <c r="H24" s="103">
        <v>5</v>
      </c>
      <c r="I24" s="103">
        <v>5</v>
      </c>
      <c r="J24" s="103">
        <v>5</v>
      </c>
      <c r="K24" s="103">
        <v>5</v>
      </c>
      <c r="L24" s="103">
        <v>5</v>
      </c>
      <c r="M24" s="103">
        <v>5</v>
      </c>
      <c r="N24" s="103">
        <v>5</v>
      </c>
      <c r="O24" s="103">
        <v>5</v>
      </c>
      <c r="P24" s="103"/>
      <c r="Q24" s="103"/>
      <c r="R24" s="103"/>
      <c r="S24" s="103"/>
      <c r="T24" s="103">
        <v>5</v>
      </c>
      <c r="U24" s="103">
        <v>5</v>
      </c>
      <c r="V24" s="103">
        <v>5</v>
      </c>
      <c r="W24" s="103">
        <v>5</v>
      </c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342" t="s">
        <v>213</v>
      </c>
      <c r="BK24" s="250"/>
      <c r="BL24" s="76">
        <f t="shared" si="3"/>
        <v>5</v>
      </c>
      <c r="BM24" s="77">
        <f t="shared" si="4"/>
        <v>0</v>
      </c>
      <c r="BN24" s="77">
        <f t="shared" si="5"/>
        <v>0</v>
      </c>
    </row>
    <row r="25" spans="1:66" ht="16.5" customHeight="1">
      <c r="A25" s="156" t="s">
        <v>86</v>
      </c>
      <c r="B25" s="338" t="s">
        <v>87</v>
      </c>
      <c r="C25" s="355" t="s">
        <v>212</v>
      </c>
      <c r="D25" s="356" t="s">
        <v>34</v>
      </c>
      <c r="E25" s="356" t="s">
        <v>34</v>
      </c>
      <c r="F25" s="356" t="s">
        <v>46</v>
      </c>
      <c r="G25" s="356" t="s">
        <v>46</v>
      </c>
      <c r="H25" s="356" t="s">
        <v>46</v>
      </c>
      <c r="I25" s="356" t="s">
        <v>46</v>
      </c>
      <c r="J25" s="356" t="s">
        <v>46</v>
      </c>
      <c r="K25" s="356" t="s">
        <v>46</v>
      </c>
      <c r="L25" s="356" t="s">
        <v>46</v>
      </c>
      <c r="M25" s="356">
        <v>2</v>
      </c>
      <c r="N25" s="357">
        <v>3</v>
      </c>
      <c r="O25" s="358" t="s">
        <v>48</v>
      </c>
      <c r="P25" s="352" t="s">
        <v>46</v>
      </c>
      <c r="Q25" s="353" t="s">
        <v>46</v>
      </c>
      <c r="R25" s="353"/>
      <c r="S25" s="353"/>
      <c r="T25" s="353" t="s">
        <v>46</v>
      </c>
      <c r="U25" s="353" t="s">
        <v>46</v>
      </c>
      <c r="V25" s="353" t="s">
        <v>46</v>
      </c>
      <c r="W25" s="353" t="s">
        <v>46</v>
      </c>
      <c r="X25" s="353"/>
      <c r="Y25" s="353"/>
      <c r="Z25" s="353"/>
      <c r="AA25" s="353"/>
      <c r="AB25" s="353"/>
      <c r="AC25" s="353"/>
      <c r="AD25" s="353"/>
      <c r="AE25" s="353"/>
      <c r="AF25" s="353"/>
      <c r="AG25" s="353"/>
      <c r="AH25" s="353"/>
      <c r="AI25" s="353"/>
      <c r="AJ25" s="353"/>
      <c r="AK25" s="353"/>
      <c r="AL25" s="353"/>
      <c r="AM25" s="353"/>
      <c r="AN25" s="353"/>
      <c r="AO25" s="353"/>
      <c r="AP25" s="353"/>
      <c r="AQ25" s="353"/>
      <c r="AR25" s="353"/>
      <c r="AS25" s="353"/>
      <c r="AT25" s="353"/>
      <c r="AU25" s="353"/>
      <c r="AV25" s="353"/>
      <c r="AW25" s="353"/>
      <c r="AX25" s="353"/>
      <c r="AY25" s="353"/>
      <c r="AZ25" s="353"/>
      <c r="BA25" s="353"/>
      <c r="BB25" s="353"/>
      <c r="BC25" s="353"/>
      <c r="BD25" s="353"/>
      <c r="BE25" s="353"/>
      <c r="BF25" s="353"/>
      <c r="BG25" s="353"/>
      <c r="BH25" s="353"/>
      <c r="BI25" s="353"/>
      <c r="BJ25" s="336" t="s">
        <v>211</v>
      </c>
      <c r="BK25" s="235"/>
      <c r="BL25" s="76">
        <f t="shared" si="3"/>
        <v>2.5</v>
      </c>
      <c r="BM25" s="77">
        <f t="shared" si="4"/>
        <v>1</v>
      </c>
      <c r="BN25" s="77">
        <f t="shared" si="5"/>
        <v>13</v>
      </c>
    </row>
    <row r="26" spans="1:66" ht="16.5" hidden="1" customHeight="1">
      <c r="A26" s="139" t="s">
        <v>86</v>
      </c>
      <c r="B26" s="319" t="s">
        <v>88</v>
      </c>
      <c r="C26" s="121"/>
      <c r="D26" s="359"/>
      <c r="E26" s="359"/>
      <c r="F26" s="326"/>
      <c r="G26" s="326"/>
      <c r="H26" s="326"/>
      <c r="I26" s="326"/>
      <c r="J26" s="326"/>
      <c r="K26" s="326"/>
      <c r="L26" s="360"/>
      <c r="M26" s="360"/>
      <c r="N26" s="360"/>
      <c r="O26" s="326"/>
      <c r="P26" s="349"/>
      <c r="Q26" s="349"/>
      <c r="R26" s="349"/>
      <c r="S26" s="349"/>
      <c r="T26" s="349"/>
      <c r="U26" s="349"/>
      <c r="V26" s="349"/>
      <c r="W26" s="349"/>
      <c r="X26" s="349"/>
      <c r="Y26" s="349"/>
      <c r="Z26" s="349"/>
      <c r="AA26" s="349"/>
      <c r="AB26" s="349"/>
      <c r="AC26" s="349"/>
      <c r="AD26" s="349"/>
      <c r="AE26" s="349"/>
      <c r="AF26" s="349"/>
      <c r="AG26" s="349"/>
      <c r="AH26" s="349"/>
      <c r="AI26" s="349"/>
      <c r="AJ26" s="349"/>
      <c r="AK26" s="349"/>
      <c r="AL26" s="349"/>
      <c r="AM26" s="349"/>
      <c r="AN26" s="349"/>
      <c r="AO26" s="349"/>
      <c r="AP26" s="349"/>
      <c r="AQ26" s="349"/>
      <c r="AR26" s="349"/>
      <c r="AS26" s="349"/>
      <c r="AT26" s="349"/>
      <c r="AU26" s="349"/>
      <c r="AV26" s="349"/>
      <c r="AW26" s="349"/>
      <c r="AX26" s="349"/>
      <c r="AY26" s="349"/>
      <c r="AZ26" s="349"/>
      <c r="BA26" s="349"/>
      <c r="BB26" s="349"/>
      <c r="BC26" s="349"/>
      <c r="BD26" s="349"/>
      <c r="BE26" s="349"/>
      <c r="BF26" s="349"/>
      <c r="BG26" s="349"/>
      <c r="BH26" s="349"/>
      <c r="BI26" s="349"/>
      <c r="BJ26" s="361" t="s">
        <v>213</v>
      </c>
      <c r="BK26" s="362"/>
      <c r="BL26" s="76" t="str">
        <f t="shared" si="3"/>
        <v>Нет оценок</v>
      </c>
      <c r="BM26" s="77">
        <f t="shared" si="4"/>
        <v>0</v>
      </c>
      <c r="BN26" s="77">
        <f t="shared" si="5"/>
        <v>0</v>
      </c>
    </row>
    <row r="27" spans="1:66" ht="16.5" customHeight="1">
      <c r="A27" s="139" t="s">
        <v>89</v>
      </c>
      <c r="B27" s="363" t="s">
        <v>90</v>
      </c>
      <c r="C27" s="364" t="s">
        <v>210</v>
      </c>
      <c r="D27" s="365"/>
      <c r="E27" s="365">
        <v>5</v>
      </c>
      <c r="F27" s="359">
        <v>5</v>
      </c>
      <c r="G27" s="359">
        <v>5</v>
      </c>
      <c r="H27" s="366" t="s">
        <v>48</v>
      </c>
      <c r="I27" s="367" t="s">
        <v>48</v>
      </c>
      <c r="J27" s="367" t="s">
        <v>48</v>
      </c>
      <c r="K27" s="367" t="s">
        <v>48</v>
      </c>
      <c r="L27" s="368" t="s">
        <v>48</v>
      </c>
      <c r="M27" s="359" t="s">
        <v>48</v>
      </c>
      <c r="N27" s="359" t="s">
        <v>48</v>
      </c>
      <c r="O27" s="118" t="s">
        <v>48</v>
      </c>
      <c r="P27" s="73">
        <v>5</v>
      </c>
      <c r="Q27" s="73">
        <v>5</v>
      </c>
      <c r="R27" s="73"/>
      <c r="S27" s="73"/>
      <c r="T27" s="73" t="s">
        <v>46</v>
      </c>
      <c r="U27" s="73">
        <v>5</v>
      </c>
      <c r="V27" s="73">
        <v>5</v>
      </c>
      <c r="W27" s="73">
        <v>5</v>
      </c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369" t="s">
        <v>213</v>
      </c>
      <c r="BK27" s="274"/>
      <c r="BL27" s="76">
        <f t="shared" si="3"/>
        <v>5</v>
      </c>
      <c r="BM27" s="77">
        <f t="shared" si="4"/>
        <v>8</v>
      </c>
      <c r="BN27" s="77">
        <f t="shared" si="5"/>
        <v>1</v>
      </c>
    </row>
    <row r="28" spans="1:66" ht="15.75" customHeight="1">
      <c r="A28" s="139" t="s">
        <v>91</v>
      </c>
      <c r="B28" s="330" t="s">
        <v>92</v>
      </c>
      <c r="C28" s="74" t="s">
        <v>212</v>
      </c>
      <c r="D28" s="70"/>
      <c r="E28" s="70">
        <v>5</v>
      </c>
      <c r="F28" s="70">
        <v>5</v>
      </c>
      <c r="G28" s="110" t="s">
        <v>216</v>
      </c>
      <c r="H28" s="70">
        <v>5</v>
      </c>
      <c r="I28" s="96">
        <v>5</v>
      </c>
      <c r="J28" s="96">
        <v>5</v>
      </c>
      <c r="K28" s="370" t="s">
        <v>34</v>
      </c>
      <c r="L28" s="371" t="s">
        <v>34</v>
      </c>
      <c r="M28" s="70">
        <v>5</v>
      </c>
      <c r="N28" s="321" t="s">
        <v>34</v>
      </c>
      <c r="O28" s="70">
        <v>5</v>
      </c>
      <c r="P28" s="70">
        <v>5</v>
      </c>
      <c r="Q28" s="70">
        <v>5</v>
      </c>
      <c r="R28" s="70"/>
      <c r="S28" s="70"/>
      <c r="T28" s="70">
        <v>5</v>
      </c>
      <c r="U28" s="70">
        <v>5</v>
      </c>
      <c r="V28" s="70">
        <v>5</v>
      </c>
      <c r="W28" s="70">
        <v>5</v>
      </c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337" t="s">
        <v>213</v>
      </c>
      <c r="BK28" s="237"/>
      <c r="BL28" s="76">
        <f t="shared" si="3"/>
        <v>5</v>
      </c>
      <c r="BM28" s="77">
        <f t="shared" si="4"/>
        <v>0</v>
      </c>
      <c r="BN28" s="77">
        <f t="shared" si="5"/>
        <v>0</v>
      </c>
    </row>
    <row r="29" spans="1:66" ht="15.75">
      <c r="A29" s="165" t="s">
        <v>93</v>
      </c>
      <c r="B29" s="165" t="s">
        <v>94</v>
      </c>
      <c r="BL29" s="127">
        <f>IFERROR(AVERAGE(BL5:BL28),"")</f>
        <v>4.5934406173536599</v>
      </c>
      <c r="BM29" s="128">
        <f>SUM(BM5:BM28)</f>
        <v>12</v>
      </c>
      <c r="BN29" s="128">
        <f>SUM(BN5:BN28)</f>
        <v>62</v>
      </c>
    </row>
    <row r="30" spans="1:66">
      <c r="A30" s="372">
        <v>45903</v>
      </c>
      <c r="B30" s="166" t="s">
        <v>217</v>
      </c>
    </row>
    <row r="31" spans="1:66">
      <c r="A31" s="372">
        <v>45909</v>
      </c>
      <c r="B31" s="166" t="s">
        <v>218</v>
      </c>
    </row>
    <row r="32" spans="1:66">
      <c r="A32" s="373">
        <v>45923</v>
      </c>
      <c r="B32" s="166" t="s">
        <v>219</v>
      </c>
    </row>
    <row r="33" spans="1:2">
      <c r="A33" s="373">
        <v>45945</v>
      </c>
      <c r="B33" s="166" t="s">
        <v>219</v>
      </c>
    </row>
    <row r="34" spans="1:2">
      <c r="A34" s="373">
        <v>45954</v>
      </c>
      <c r="B34" s="166" t="s">
        <v>219</v>
      </c>
    </row>
    <row r="35" spans="1:2">
      <c r="A35" s="373">
        <v>45959</v>
      </c>
      <c r="B35" s="374" t="s">
        <v>220</v>
      </c>
    </row>
    <row r="36" spans="1:2">
      <c r="A36" s="373">
        <v>45959</v>
      </c>
      <c r="B36" s="374" t="s">
        <v>220</v>
      </c>
    </row>
    <row r="37" spans="1:2">
      <c r="A37" s="372">
        <v>45961</v>
      </c>
      <c r="B37" s="375" t="s">
        <v>220</v>
      </c>
    </row>
    <row r="38" spans="1:2">
      <c r="A38" s="372">
        <v>45966</v>
      </c>
      <c r="B38" s="166" t="s">
        <v>219</v>
      </c>
    </row>
    <row r="39" spans="1:2">
      <c r="A39" s="372">
        <v>45973</v>
      </c>
      <c r="B39" s="166" t="s">
        <v>219</v>
      </c>
    </row>
    <row r="40" spans="1:2">
      <c r="A40" s="372">
        <v>45982</v>
      </c>
      <c r="B40" s="166" t="s">
        <v>219</v>
      </c>
    </row>
    <row r="41" spans="1:2">
      <c r="A41" s="372">
        <v>45994</v>
      </c>
      <c r="B41" s="166" t="s">
        <v>219</v>
      </c>
    </row>
    <row r="42" spans="1:2">
      <c r="A42" s="372">
        <v>46003</v>
      </c>
      <c r="B42" s="166" t="s">
        <v>219</v>
      </c>
    </row>
    <row r="43" spans="1:2">
      <c r="A43" s="372">
        <v>46003</v>
      </c>
      <c r="B43" s="166" t="s">
        <v>219</v>
      </c>
    </row>
    <row r="44" spans="1:2">
      <c r="A44" s="372">
        <v>46010</v>
      </c>
      <c r="B44" s="166" t="s">
        <v>221</v>
      </c>
    </row>
    <row r="45" spans="1:2">
      <c r="A45" s="166"/>
      <c r="B45" s="166"/>
    </row>
    <row r="46" spans="1:2">
      <c r="A46" s="372">
        <v>46071</v>
      </c>
      <c r="B46" s="166" t="s">
        <v>222</v>
      </c>
    </row>
    <row r="47" spans="1:2">
      <c r="A47" s="372">
        <v>46074</v>
      </c>
      <c r="B47" s="166" t="s">
        <v>223</v>
      </c>
    </row>
    <row r="48" spans="1:2">
      <c r="A48" s="372">
        <v>46074</v>
      </c>
      <c r="B48" s="166" t="s">
        <v>223</v>
      </c>
    </row>
    <row r="49" spans="1:2">
      <c r="A49" s="372">
        <v>46091</v>
      </c>
      <c r="B49" s="166" t="s">
        <v>219</v>
      </c>
    </row>
    <row r="50" spans="1:2">
      <c r="A50" s="166"/>
      <c r="B50" s="166"/>
    </row>
    <row r="51" spans="1:2">
      <c r="A51" s="166"/>
      <c r="B51" s="166"/>
    </row>
    <row r="52" spans="1:2">
      <c r="A52" s="166"/>
      <c r="B52" s="166"/>
    </row>
    <row r="53" spans="1:2">
      <c r="A53" s="166"/>
      <c r="B53" s="166"/>
    </row>
    <row r="54" spans="1:2">
      <c r="A54" s="166"/>
      <c r="B54" s="166"/>
    </row>
    <row r="55" spans="1:2">
      <c r="A55" s="166"/>
      <c r="B55" s="166"/>
    </row>
    <row r="56" spans="1:2">
      <c r="A56" s="166"/>
      <c r="B56" s="166"/>
    </row>
    <row r="57" spans="1:2">
      <c r="A57" s="166"/>
      <c r="B57" s="166"/>
    </row>
    <row r="58" spans="1:2">
      <c r="A58" s="166"/>
      <c r="B58" s="166"/>
    </row>
    <row r="59" spans="1:2">
      <c r="A59" s="166"/>
      <c r="B59" s="166"/>
    </row>
    <row r="60" spans="1:2">
      <c r="A60" s="166"/>
      <c r="B60" s="166"/>
    </row>
    <row r="61" spans="1:2">
      <c r="A61" s="166"/>
      <c r="B61" s="166"/>
    </row>
    <row r="62" spans="1:2">
      <c r="A62" s="166"/>
      <c r="B62" s="166"/>
    </row>
    <row r="63" spans="1:2">
      <c r="A63" s="166"/>
      <c r="B63" s="166"/>
    </row>
    <row r="64" spans="1:2">
      <c r="A64" s="166"/>
      <c r="B64" s="166"/>
    </row>
    <row r="65" spans="1:2">
      <c r="A65" s="166"/>
      <c r="B65" s="166"/>
    </row>
    <row r="66" spans="1:2">
      <c r="A66" s="166"/>
      <c r="B66" s="166"/>
    </row>
  </sheetData>
  <mergeCells count="6">
    <mergeCell ref="BM3:BN3"/>
    <mergeCell ref="A1:B1"/>
    <mergeCell ref="C1:BK1"/>
    <mergeCell ref="A2:B2"/>
    <mergeCell ref="C2:BK2"/>
    <mergeCell ref="A3:A4"/>
  </mergeCells>
  <conditionalFormatting sqref="BN5:BN28">
    <cfRule type="cellIs" dxfId="68" priority="2" operator="greaterThan">
      <formula>0</formula>
    </cfRule>
  </conditionalFormatting>
  <conditionalFormatting sqref="BL5:BL29">
    <cfRule type="cellIs" dxfId="67" priority="1" operator="lessThan">
      <formula>3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T66"/>
  <sheetViews>
    <sheetView zoomScale="85"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customWidth="1"/>
    <col min="2" max="2" width="34.44140625" customWidth="1"/>
    <col min="3" max="68" width="2.77734375" customWidth="1"/>
    <col min="69" max="69" width="6.33203125" customWidth="1"/>
    <col min="70" max="70" width="10.6640625" customWidth="1"/>
    <col min="71" max="72" width="8.109375" customWidth="1"/>
  </cols>
  <sheetData>
    <row r="1" spans="1:72" ht="27.75">
      <c r="A1" s="1277" t="s">
        <v>38</v>
      </c>
      <c r="B1" s="1277"/>
      <c r="C1" s="1276" t="s">
        <v>11</v>
      </c>
      <c r="D1" s="1276"/>
      <c r="E1" s="1276"/>
      <c r="F1" s="1276"/>
      <c r="G1" s="1276"/>
      <c r="H1" s="1276"/>
      <c r="I1" s="1276"/>
      <c r="J1" s="1276"/>
      <c r="K1" s="1276"/>
      <c r="L1" s="1276"/>
      <c r="M1" s="1276"/>
      <c r="N1" s="1276"/>
      <c r="O1" s="1276"/>
      <c r="P1" s="1276"/>
      <c r="Q1" s="1276"/>
      <c r="R1" s="1276"/>
      <c r="S1" s="1276"/>
      <c r="T1" s="1276"/>
      <c r="U1" s="1276"/>
      <c r="V1" s="1276"/>
      <c r="W1" s="1276"/>
      <c r="X1" s="1276"/>
      <c r="Y1" s="1276"/>
      <c r="Z1" s="1276"/>
      <c r="AA1" s="1276"/>
      <c r="AB1" s="1276"/>
      <c r="AC1" s="1276"/>
      <c r="AD1" s="1276"/>
      <c r="AE1" s="1276"/>
      <c r="AF1" s="1276"/>
      <c r="AG1" s="1276"/>
      <c r="AH1" s="1276"/>
      <c r="AI1" s="1276"/>
      <c r="AJ1" s="1276"/>
      <c r="AK1" s="1276"/>
      <c r="AL1" s="1276"/>
      <c r="AM1" s="1276"/>
      <c r="AN1" s="1276"/>
      <c r="AO1" s="1276"/>
      <c r="AP1" s="1276"/>
      <c r="AQ1" s="1276"/>
      <c r="AR1" s="1276"/>
      <c r="AS1" s="1276"/>
      <c r="AT1" s="1276"/>
      <c r="AU1" s="1276"/>
      <c r="AV1" s="1276"/>
      <c r="AW1" s="1276"/>
      <c r="AX1" s="1276"/>
      <c r="AY1" s="1276"/>
      <c r="AZ1" s="1276"/>
      <c r="BA1" s="1276"/>
      <c r="BB1" s="1276"/>
      <c r="BC1" s="1276"/>
      <c r="BD1" s="1276"/>
      <c r="BE1" s="1276"/>
      <c r="BF1" s="1276"/>
      <c r="BG1" s="1276"/>
      <c r="BH1" s="1276"/>
      <c r="BI1" s="1276"/>
      <c r="BJ1" s="1276"/>
      <c r="BK1" s="1276"/>
      <c r="BL1" s="1276"/>
      <c r="BM1" s="1276"/>
      <c r="BN1" s="1276"/>
      <c r="BO1" s="1276"/>
      <c r="BP1" s="1276"/>
      <c r="BQ1" s="29"/>
    </row>
    <row r="2" spans="1:72" ht="27.75">
      <c r="A2" s="1277" t="s">
        <v>39</v>
      </c>
      <c r="B2" s="1277"/>
      <c r="C2" s="1277" t="s">
        <v>224</v>
      </c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1277"/>
      <c r="AD2" s="1277"/>
      <c r="AE2" s="1277"/>
      <c r="AF2" s="1277"/>
      <c r="AG2" s="1277"/>
      <c r="AH2" s="1277"/>
      <c r="AI2" s="1277"/>
      <c r="AJ2" s="1277"/>
      <c r="AK2" s="1277"/>
      <c r="AL2" s="1277"/>
      <c r="AM2" s="1277"/>
      <c r="AN2" s="1277"/>
      <c r="AO2" s="1277"/>
      <c r="AP2" s="1277"/>
      <c r="AQ2" s="1277"/>
      <c r="AR2" s="1277"/>
      <c r="AS2" s="1277"/>
      <c r="AT2" s="1277"/>
      <c r="AU2" s="1277"/>
      <c r="AV2" s="1277"/>
      <c r="AW2" s="1277"/>
      <c r="AX2" s="1277"/>
      <c r="AY2" s="1277"/>
      <c r="AZ2" s="1277"/>
      <c r="BA2" s="1277"/>
      <c r="BB2" s="1277"/>
      <c r="BC2" s="1277"/>
      <c r="BD2" s="1277"/>
      <c r="BE2" s="1277"/>
      <c r="BF2" s="1277"/>
      <c r="BG2" s="1277"/>
      <c r="BH2" s="1277"/>
      <c r="BI2" s="1277"/>
      <c r="BJ2" s="1277"/>
      <c r="BK2" s="1277"/>
      <c r="BL2" s="1277"/>
      <c r="BM2" s="1277"/>
      <c r="BN2" s="1277"/>
      <c r="BO2" s="1277"/>
      <c r="BP2" s="1277"/>
      <c r="BQ2" s="31"/>
      <c r="BR2" s="32"/>
      <c r="BS2" s="32"/>
      <c r="BT2" s="32"/>
    </row>
    <row r="3" spans="1:72" ht="15.75" customHeight="1">
      <c r="A3" s="1281" t="s">
        <v>41</v>
      </c>
      <c r="B3" s="129" t="s">
        <v>42</v>
      </c>
      <c r="C3" s="1301" t="s">
        <v>146</v>
      </c>
      <c r="D3" s="1302"/>
      <c r="E3" s="1302"/>
      <c r="F3" s="1302"/>
      <c r="G3" s="1302"/>
      <c r="H3" s="1303" t="s">
        <v>147</v>
      </c>
      <c r="I3" s="1303"/>
      <c r="J3" s="1303"/>
      <c r="K3" s="1304" t="s">
        <v>148</v>
      </c>
      <c r="L3" s="1304"/>
      <c r="M3" s="1304"/>
      <c r="N3" s="1304"/>
      <c r="O3" s="1304"/>
      <c r="P3" s="1304"/>
      <c r="Q3" s="1304"/>
      <c r="R3" s="1305" t="s">
        <v>149</v>
      </c>
      <c r="S3" s="1305"/>
      <c r="T3" s="1305"/>
      <c r="U3" s="1305"/>
      <c r="V3" s="1305"/>
      <c r="W3" s="1305"/>
      <c r="X3" s="1305"/>
      <c r="Y3" s="1306" t="s">
        <v>150</v>
      </c>
      <c r="Z3" s="1306"/>
      <c r="AA3" s="1306"/>
      <c r="AB3" s="1306"/>
      <c r="AC3" s="1306"/>
      <c r="AD3" s="1306"/>
      <c r="AE3" s="1306"/>
      <c r="AF3" s="1306"/>
      <c r="AG3" s="1307" t="s">
        <v>151</v>
      </c>
      <c r="AH3" s="1308"/>
      <c r="AI3" s="1309"/>
      <c r="AJ3" s="376" t="s">
        <v>153</v>
      </c>
      <c r="AK3" s="42"/>
      <c r="AL3" s="43"/>
      <c r="AM3" s="43"/>
      <c r="AN3" s="42"/>
      <c r="AO3" s="43"/>
      <c r="AP3" s="43"/>
      <c r="AQ3" s="43"/>
      <c r="AR3" s="43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44" t="s">
        <v>207</v>
      </c>
      <c r="BR3" s="45"/>
      <c r="BS3" s="1278" t="s">
        <v>0</v>
      </c>
      <c r="BT3" s="1279"/>
    </row>
    <row r="4" spans="1:72" s="377" customFormat="1" ht="15.75" customHeight="1">
      <c r="A4" s="1282"/>
      <c r="B4" s="378" t="s">
        <v>43</v>
      </c>
      <c r="C4" s="379">
        <v>5</v>
      </c>
      <c r="D4" s="379">
        <v>9</v>
      </c>
      <c r="E4" s="379">
        <v>9</v>
      </c>
      <c r="F4" s="379">
        <v>11</v>
      </c>
      <c r="G4" s="379">
        <v>17</v>
      </c>
      <c r="H4" s="379">
        <v>7</v>
      </c>
      <c r="I4" s="379">
        <v>9</v>
      </c>
      <c r="J4" s="380">
        <v>14</v>
      </c>
      <c r="K4" s="379">
        <v>10</v>
      </c>
      <c r="L4" s="379">
        <v>10</v>
      </c>
      <c r="M4" s="379">
        <v>17</v>
      </c>
      <c r="N4" s="379">
        <v>18</v>
      </c>
      <c r="O4" s="379">
        <v>18</v>
      </c>
      <c r="P4" s="379">
        <v>20</v>
      </c>
      <c r="Q4" s="379"/>
      <c r="R4" s="379">
        <v>4</v>
      </c>
      <c r="S4" s="379">
        <v>5</v>
      </c>
      <c r="T4" s="380">
        <v>5</v>
      </c>
      <c r="U4" s="379">
        <v>8</v>
      </c>
      <c r="V4" s="379">
        <v>10</v>
      </c>
      <c r="W4" s="379">
        <v>16</v>
      </c>
      <c r="X4" s="379">
        <v>26</v>
      </c>
      <c r="Y4" s="379">
        <v>12</v>
      </c>
      <c r="Z4" s="379">
        <v>19</v>
      </c>
      <c r="AA4" s="379">
        <v>20</v>
      </c>
      <c r="AB4" s="379">
        <v>21</v>
      </c>
      <c r="AC4" s="379">
        <v>23</v>
      </c>
      <c r="AD4" s="379">
        <v>26</v>
      </c>
      <c r="AE4" s="379">
        <v>27</v>
      </c>
      <c r="AF4" s="379">
        <v>31</v>
      </c>
      <c r="AG4" s="379">
        <v>3</v>
      </c>
      <c r="AH4" s="380">
        <v>6</v>
      </c>
      <c r="AI4" s="379">
        <v>14</v>
      </c>
      <c r="AJ4" s="379">
        <v>6</v>
      </c>
      <c r="AK4" s="379"/>
      <c r="AL4" s="379"/>
      <c r="AM4" s="379"/>
      <c r="AN4" s="381"/>
      <c r="AO4" s="381"/>
      <c r="AP4" s="381"/>
      <c r="AQ4" s="381"/>
      <c r="AR4" s="381"/>
      <c r="AS4" s="381"/>
      <c r="AT4" s="381"/>
      <c r="AU4" s="381"/>
      <c r="AV4" s="381"/>
      <c r="AW4" s="382"/>
      <c r="AX4" s="382"/>
      <c r="AY4" s="382"/>
      <c r="AZ4" s="382"/>
      <c r="BA4" s="382"/>
      <c r="BB4" s="382"/>
      <c r="BC4" s="382"/>
      <c r="BD4" s="382"/>
      <c r="BE4" s="382"/>
      <c r="BF4" s="382"/>
      <c r="BG4" s="382"/>
      <c r="BH4" s="382"/>
      <c r="BI4" s="382"/>
      <c r="BJ4" s="382"/>
      <c r="BK4" s="382"/>
      <c r="BL4" s="382"/>
      <c r="BM4" s="382"/>
      <c r="BN4" s="382"/>
      <c r="BO4" s="382"/>
      <c r="BP4" s="382"/>
      <c r="BQ4" s="383" t="s">
        <v>225</v>
      </c>
      <c r="BR4" s="384" t="s">
        <v>33</v>
      </c>
      <c r="BS4" s="385" t="s">
        <v>5</v>
      </c>
      <c r="BT4" s="385" t="s">
        <v>6</v>
      </c>
    </row>
    <row r="5" spans="1:72" ht="16.5" customHeight="1">
      <c r="A5" s="136" t="s">
        <v>44</v>
      </c>
      <c r="B5" s="137" t="s">
        <v>45</v>
      </c>
      <c r="C5" s="386" t="s">
        <v>37</v>
      </c>
      <c r="D5" s="387"/>
      <c r="E5" s="387">
        <v>2</v>
      </c>
      <c r="F5" s="387">
        <v>5</v>
      </c>
      <c r="G5" s="388">
        <v>5</v>
      </c>
      <c r="H5" s="386"/>
      <c r="I5" s="387"/>
      <c r="J5" s="389">
        <v>2</v>
      </c>
      <c r="K5" s="386" t="s">
        <v>36</v>
      </c>
      <c r="L5" s="387"/>
      <c r="M5" s="387"/>
      <c r="N5" s="387"/>
      <c r="O5" s="387"/>
      <c r="P5" s="387">
        <v>2</v>
      </c>
      <c r="Q5" s="388">
        <v>3</v>
      </c>
      <c r="R5" s="386" t="s">
        <v>46</v>
      </c>
      <c r="S5" s="387" t="s">
        <v>46</v>
      </c>
      <c r="T5" s="390">
        <v>3</v>
      </c>
      <c r="U5" s="387" t="s">
        <v>46</v>
      </c>
      <c r="V5" s="387" t="s">
        <v>46</v>
      </c>
      <c r="W5" s="387">
        <v>3</v>
      </c>
      <c r="X5" s="391" t="s">
        <v>46</v>
      </c>
      <c r="Y5" s="392" t="s">
        <v>37</v>
      </c>
      <c r="Z5" s="387" t="s">
        <v>36</v>
      </c>
      <c r="AA5" s="387">
        <v>5</v>
      </c>
      <c r="AB5" s="387" t="s">
        <v>46</v>
      </c>
      <c r="AC5" s="387" t="s">
        <v>46</v>
      </c>
      <c r="AD5" s="387"/>
      <c r="AE5" s="387"/>
      <c r="AF5" s="387" t="s">
        <v>36</v>
      </c>
      <c r="AG5" s="387" t="s">
        <v>46</v>
      </c>
      <c r="AH5" s="390" t="s">
        <v>46</v>
      </c>
      <c r="AI5" s="387" t="s">
        <v>48</v>
      </c>
      <c r="AJ5" s="387" t="s">
        <v>46</v>
      </c>
      <c r="AK5" s="387"/>
      <c r="AL5" s="387"/>
      <c r="AM5" s="387"/>
      <c r="AN5" s="96"/>
      <c r="AO5" s="96"/>
      <c r="AP5" s="96"/>
      <c r="AQ5" s="96"/>
      <c r="AR5" s="96"/>
      <c r="AS5" s="96"/>
      <c r="AT5" s="96"/>
      <c r="AU5" s="327"/>
      <c r="AV5" s="96"/>
      <c r="AW5" s="327"/>
      <c r="AX5" s="327"/>
      <c r="AY5" s="327"/>
      <c r="AZ5" s="327"/>
      <c r="BA5" s="322"/>
      <c r="BB5" s="322"/>
      <c r="BC5" s="322"/>
      <c r="BD5" s="322"/>
      <c r="BE5" s="322"/>
      <c r="BF5" s="322"/>
      <c r="BG5" s="322"/>
      <c r="BH5" s="322"/>
      <c r="BI5" s="322"/>
      <c r="BJ5" s="322"/>
      <c r="BK5" s="322"/>
      <c r="BL5" s="322"/>
      <c r="BM5" s="322"/>
      <c r="BN5" s="322"/>
      <c r="BO5" s="322"/>
      <c r="BP5" s="322"/>
      <c r="BQ5" s="75"/>
      <c r="BR5" s="76">
        <f t="shared" ref="BR5:BR9" si="0">IFERROR(AVERAGE(C5:BQ5),"Нет оценок")</f>
        <v>3.3333333333333335</v>
      </c>
      <c r="BS5" s="77">
        <f t="shared" ref="BS5:BS9" si="1">COUNTIF(C5:BQ5,"н/у")</f>
        <v>1</v>
      </c>
      <c r="BT5" s="77">
        <f t="shared" ref="BT5:BT9" si="2">COUNTIF(C5:BQ5,"н")</f>
        <v>10</v>
      </c>
    </row>
    <row r="6" spans="1:72" ht="16.5" customHeight="1">
      <c r="A6" s="139" t="s">
        <v>49</v>
      </c>
      <c r="B6" s="140" t="s">
        <v>50</v>
      </c>
      <c r="C6" s="386"/>
      <c r="D6" s="387"/>
      <c r="E6" s="387">
        <v>5</v>
      </c>
      <c r="F6" s="387">
        <v>5</v>
      </c>
      <c r="G6" s="388" t="s">
        <v>37</v>
      </c>
      <c r="H6" s="386">
        <v>5</v>
      </c>
      <c r="I6" s="393" t="s">
        <v>46</v>
      </c>
      <c r="J6" s="394" t="s">
        <v>48</v>
      </c>
      <c r="K6" s="395" t="s">
        <v>34</v>
      </c>
      <c r="L6" s="387"/>
      <c r="M6" s="387"/>
      <c r="N6" s="387" t="s">
        <v>36</v>
      </c>
      <c r="O6" s="387"/>
      <c r="P6" s="387" t="s">
        <v>46</v>
      </c>
      <c r="Q6" s="388"/>
      <c r="R6" s="386" t="s">
        <v>46</v>
      </c>
      <c r="S6" s="387"/>
      <c r="T6" s="390">
        <v>2</v>
      </c>
      <c r="U6" s="387"/>
      <c r="V6" s="387" t="s">
        <v>46</v>
      </c>
      <c r="W6" s="387" t="s">
        <v>46</v>
      </c>
      <c r="X6" s="391">
        <v>5</v>
      </c>
      <c r="Y6" s="392" t="s">
        <v>37</v>
      </c>
      <c r="Z6" s="387">
        <v>5</v>
      </c>
      <c r="AA6" s="387" t="s">
        <v>46</v>
      </c>
      <c r="AB6" s="387" t="s">
        <v>46</v>
      </c>
      <c r="AC6" s="387" t="s">
        <v>46</v>
      </c>
      <c r="AD6" s="387"/>
      <c r="AE6" s="387"/>
      <c r="AF6" s="387" t="s">
        <v>46</v>
      </c>
      <c r="AG6" s="387">
        <v>2</v>
      </c>
      <c r="AH6" s="390" t="s">
        <v>46</v>
      </c>
      <c r="AI6" s="387" t="s">
        <v>36</v>
      </c>
      <c r="AJ6" s="387">
        <v>4</v>
      </c>
      <c r="AK6" s="387"/>
      <c r="AL6" s="387"/>
      <c r="AM6" s="387"/>
      <c r="AN6" s="96"/>
      <c r="AO6" s="96"/>
      <c r="AP6" s="96"/>
      <c r="AQ6" s="96"/>
      <c r="AR6" s="96"/>
      <c r="AS6" s="96"/>
      <c r="AT6" s="96"/>
      <c r="AU6" s="327"/>
      <c r="AV6" s="96"/>
      <c r="AW6" s="327"/>
      <c r="AX6" s="327"/>
      <c r="AY6" s="327"/>
      <c r="AZ6" s="327"/>
      <c r="BA6" s="327"/>
      <c r="BB6" s="327"/>
      <c r="BC6" s="327"/>
      <c r="BD6" s="327"/>
      <c r="BE6" s="327"/>
      <c r="BF6" s="327"/>
      <c r="BG6" s="327"/>
      <c r="BH6" s="327"/>
      <c r="BI6" s="327"/>
      <c r="BJ6" s="327"/>
      <c r="BK6" s="327"/>
      <c r="BL6" s="327"/>
      <c r="BM6" s="327"/>
      <c r="BN6" s="327"/>
      <c r="BO6" s="327"/>
      <c r="BP6" s="327"/>
      <c r="BQ6" s="396"/>
      <c r="BR6" s="76">
        <f t="shared" si="0"/>
        <v>4.125</v>
      </c>
      <c r="BS6" s="77">
        <f t="shared" si="1"/>
        <v>1</v>
      </c>
      <c r="BT6" s="77">
        <f t="shared" si="2"/>
        <v>10</v>
      </c>
    </row>
    <row r="7" spans="1:72" ht="16.5" customHeight="1">
      <c r="A7" s="204" t="s">
        <v>51</v>
      </c>
      <c r="B7" s="137" t="s">
        <v>52</v>
      </c>
      <c r="C7" s="397"/>
      <c r="D7" s="398"/>
      <c r="E7" s="398">
        <v>4</v>
      </c>
      <c r="F7" s="398">
        <v>5</v>
      </c>
      <c r="G7" s="399" t="s">
        <v>36</v>
      </c>
      <c r="H7" s="397">
        <v>5</v>
      </c>
      <c r="I7" s="398"/>
      <c r="J7" s="400">
        <v>3</v>
      </c>
      <c r="K7" s="397"/>
      <c r="L7" s="398"/>
      <c r="M7" s="398"/>
      <c r="N7" s="398">
        <v>4</v>
      </c>
      <c r="O7" s="398"/>
      <c r="P7" s="398">
        <v>5</v>
      </c>
      <c r="Q7" s="399">
        <v>4</v>
      </c>
      <c r="R7" s="397">
        <v>4</v>
      </c>
      <c r="S7" s="398"/>
      <c r="T7" s="401">
        <v>2</v>
      </c>
      <c r="U7" s="398"/>
      <c r="V7" s="398"/>
      <c r="W7" s="398">
        <v>3</v>
      </c>
      <c r="X7" s="402">
        <v>5</v>
      </c>
      <c r="Y7" s="403" t="s">
        <v>37</v>
      </c>
      <c r="Z7" s="398">
        <v>2</v>
      </c>
      <c r="AA7" s="398" t="s">
        <v>226</v>
      </c>
      <c r="AB7" s="398" t="s">
        <v>34</v>
      </c>
      <c r="AC7" s="398">
        <v>5</v>
      </c>
      <c r="AD7" s="398"/>
      <c r="AE7" s="398"/>
      <c r="AF7" s="398"/>
      <c r="AG7" s="398">
        <v>2</v>
      </c>
      <c r="AH7" s="401"/>
      <c r="AI7" s="398" t="s">
        <v>46</v>
      </c>
      <c r="AJ7" s="398" t="s">
        <v>227</v>
      </c>
      <c r="AK7" s="398"/>
      <c r="AL7" s="398"/>
      <c r="AM7" s="398"/>
      <c r="AN7" s="70"/>
      <c r="AO7" s="70"/>
      <c r="AP7" s="70"/>
      <c r="AQ7" s="70"/>
      <c r="AR7" s="70"/>
      <c r="AS7" s="70"/>
      <c r="AT7" s="70"/>
      <c r="AU7" s="322"/>
      <c r="AV7" s="70"/>
      <c r="AW7" s="322"/>
      <c r="AX7" s="322"/>
      <c r="AY7" s="322"/>
      <c r="AZ7" s="322"/>
      <c r="BA7" s="322"/>
      <c r="BB7" s="322"/>
      <c r="BC7" s="322"/>
      <c r="BD7" s="322"/>
      <c r="BE7" s="322"/>
      <c r="BF7" s="322"/>
      <c r="BG7" s="322"/>
      <c r="BH7" s="322"/>
      <c r="BI7" s="322"/>
      <c r="BJ7" s="322"/>
      <c r="BK7" s="322"/>
      <c r="BL7" s="322"/>
      <c r="BM7" s="322"/>
      <c r="BN7" s="322"/>
      <c r="BO7" s="322"/>
      <c r="BP7" s="322"/>
      <c r="BQ7" s="75"/>
      <c r="BR7" s="76">
        <f t="shared" si="0"/>
        <v>3.7857142857142856</v>
      </c>
      <c r="BS7" s="77">
        <f t="shared" si="1"/>
        <v>0</v>
      </c>
      <c r="BT7" s="77">
        <f t="shared" si="2"/>
        <v>1</v>
      </c>
    </row>
    <row r="8" spans="1:72" ht="16.5" customHeight="1">
      <c r="A8" s="144" t="s">
        <v>53</v>
      </c>
      <c r="B8" s="137" t="s">
        <v>54</v>
      </c>
      <c r="C8" s="397"/>
      <c r="D8" s="398"/>
      <c r="E8" s="398">
        <v>4</v>
      </c>
      <c r="F8" s="398" t="s">
        <v>46</v>
      </c>
      <c r="G8" s="399" t="s">
        <v>46</v>
      </c>
      <c r="H8" s="397">
        <v>4</v>
      </c>
      <c r="I8" s="398"/>
      <c r="J8" s="400">
        <v>2</v>
      </c>
      <c r="K8" s="397" t="s">
        <v>36</v>
      </c>
      <c r="L8" s="398"/>
      <c r="M8" s="398"/>
      <c r="N8" s="398" t="s">
        <v>36</v>
      </c>
      <c r="O8" s="398"/>
      <c r="P8" s="398">
        <v>2</v>
      </c>
      <c r="Q8" s="399">
        <v>3</v>
      </c>
      <c r="R8" s="397">
        <v>4</v>
      </c>
      <c r="S8" s="398"/>
      <c r="T8" s="401">
        <v>2</v>
      </c>
      <c r="U8" s="398"/>
      <c r="V8" s="398"/>
      <c r="W8" s="398" t="s">
        <v>46</v>
      </c>
      <c r="X8" s="402" t="s">
        <v>46</v>
      </c>
      <c r="Y8" s="403" t="s">
        <v>226</v>
      </c>
      <c r="Z8" s="398">
        <v>3</v>
      </c>
      <c r="AA8" s="398" t="s">
        <v>226</v>
      </c>
      <c r="AB8" s="398">
        <v>3</v>
      </c>
      <c r="AC8" s="398">
        <v>5</v>
      </c>
      <c r="AD8" s="398"/>
      <c r="AE8" s="398" t="s">
        <v>46</v>
      </c>
      <c r="AF8" s="398"/>
      <c r="AG8" s="398">
        <v>4</v>
      </c>
      <c r="AH8" s="401"/>
      <c r="AI8" s="398" t="s">
        <v>46</v>
      </c>
      <c r="AJ8" s="398">
        <v>4</v>
      </c>
      <c r="AK8" s="398"/>
      <c r="AL8" s="398"/>
      <c r="AM8" s="398"/>
      <c r="AN8" s="70"/>
      <c r="AO8" s="70"/>
      <c r="AP8" s="70"/>
      <c r="AQ8" s="70"/>
      <c r="AR8" s="70"/>
      <c r="AS8" s="70"/>
      <c r="AT8" s="70"/>
      <c r="AU8" s="322"/>
      <c r="AV8" s="70"/>
      <c r="AW8" s="322"/>
      <c r="AX8" s="322"/>
      <c r="AY8" s="322"/>
      <c r="AZ8" s="322"/>
      <c r="BA8" s="322"/>
      <c r="BB8" s="322"/>
      <c r="BC8" s="322"/>
      <c r="BD8" s="322"/>
      <c r="BE8" s="322"/>
      <c r="BF8" s="322"/>
      <c r="BG8" s="322"/>
      <c r="BH8" s="322"/>
      <c r="BI8" s="322"/>
      <c r="BJ8" s="322"/>
      <c r="BK8" s="322"/>
      <c r="BL8" s="322"/>
      <c r="BM8" s="322"/>
      <c r="BN8" s="322"/>
      <c r="BO8" s="322"/>
      <c r="BP8" s="322"/>
      <c r="BQ8" s="75"/>
      <c r="BR8" s="76">
        <f t="shared" si="0"/>
        <v>3.3333333333333335</v>
      </c>
      <c r="BS8" s="77">
        <f t="shared" si="1"/>
        <v>0</v>
      </c>
      <c r="BT8" s="77">
        <f t="shared" si="2"/>
        <v>6</v>
      </c>
    </row>
    <row r="9" spans="1:72" ht="16.5" customHeight="1">
      <c r="A9" s="146" t="s">
        <v>55</v>
      </c>
      <c r="B9" s="147" t="s">
        <v>56</v>
      </c>
      <c r="C9" s="404"/>
      <c r="D9" s="405"/>
      <c r="E9" s="405">
        <v>4</v>
      </c>
      <c r="F9" s="405"/>
      <c r="G9" s="406" t="s">
        <v>37</v>
      </c>
      <c r="H9" s="404"/>
      <c r="I9" s="405" t="s">
        <v>36</v>
      </c>
      <c r="J9" s="407" t="s">
        <v>34</v>
      </c>
      <c r="K9" s="404"/>
      <c r="L9" s="405"/>
      <c r="M9" s="405"/>
      <c r="N9" s="405"/>
      <c r="O9" s="405"/>
      <c r="P9" s="405">
        <v>2</v>
      </c>
      <c r="Q9" s="406">
        <v>4</v>
      </c>
      <c r="R9" s="404" t="s">
        <v>36</v>
      </c>
      <c r="S9" s="405"/>
      <c r="T9" s="408">
        <v>2</v>
      </c>
      <c r="U9" s="405"/>
      <c r="V9" s="405"/>
      <c r="W9" s="405">
        <v>3</v>
      </c>
      <c r="X9" s="409" t="s">
        <v>46</v>
      </c>
      <c r="Y9" s="410" t="s">
        <v>37</v>
      </c>
      <c r="Z9" s="405">
        <v>3</v>
      </c>
      <c r="AA9" s="405">
        <v>4</v>
      </c>
      <c r="AB9" s="405">
        <v>4</v>
      </c>
      <c r="AC9" s="405">
        <v>2</v>
      </c>
      <c r="AD9" s="405" t="s">
        <v>46</v>
      </c>
      <c r="AE9" s="405" t="s">
        <v>46</v>
      </c>
      <c r="AF9" s="405"/>
      <c r="AG9" s="405">
        <v>4</v>
      </c>
      <c r="AH9" s="408"/>
      <c r="AI9" s="405"/>
      <c r="AJ9" s="405">
        <v>5</v>
      </c>
      <c r="AK9" s="405"/>
      <c r="AL9" s="405"/>
      <c r="AM9" s="405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411"/>
      <c r="BR9" s="76">
        <f t="shared" si="0"/>
        <v>3.3636363636363638</v>
      </c>
      <c r="BS9" s="77">
        <f t="shared" si="1"/>
        <v>0</v>
      </c>
      <c r="BT9" s="77">
        <f t="shared" si="2"/>
        <v>3</v>
      </c>
    </row>
    <row r="10" spans="1:72" ht="16.5" customHeight="1">
      <c r="A10" s="149" t="s">
        <v>57</v>
      </c>
      <c r="B10" s="150" t="s">
        <v>58</v>
      </c>
      <c r="C10" s="386"/>
      <c r="D10" s="387"/>
      <c r="E10" s="387">
        <v>4</v>
      </c>
      <c r="F10" s="387"/>
      <c r="G10" s="388">
        <v>5</v>
      </c>
      <c r="H10" s="386">
        <v>5</v>
      </c>
      <c r="I10" s="387"/>
      <c r="J10" s="389">
        <v>3</v>
      </c>
      <c r="K10" s="386"/>
      <c r="L10" s="387"/>
      <c r="M10" s="387"/>
      <c r="N10" s="387"/>
      <c r="O10" s="387"/>
      <c r="P10" s="387">
        <v>5</v>
      </c>
      <c r="Q10" s="388">
        <v>4</v>
      </c>
      <c r="R10" s="386">
        <v>4</v>
      </c>
      <c r="S10" s="387">
        <v>4</v>
      </c>
      <c r="T10" s="390">
        <v>2</v>
      </c>
      <c r="U10" s="387">
        <v>4</v>
      </c>
      <c r="V10" s="387" t="s">
        <v>36</v>
      </c>
      <c r="W10" s="387">
        <v>3</v>
      </c>
      <c r="X10" s="391">
        <v>5</v>
      </c>
      <c r="Y10" s="392" t="s">
        <v>37</v>
      </c>
      <c r="Z10" s="387">
        <v>3</v>
      </c>
      <c r="AA10" s="387">
        <v>5</v>
      </c>
      <c r="AB10" s="387">
        <v>4</v>
      </c>
      <c r="AC10" s="387">
        <v>5</v>
      </c>
      <c r="AD10" s="387"/>
      <c r="AE10" s="387"/>
      <c r="AF10" s="387"/>
      <c r="AG10" s="387">
        <v>4</v>
      </c>
      <c r="AH10" s="390"/>
      <c r="AI10" s="387"/>
      <c r="AJ10" s="387">
        <v>4</v>
      </c>
      <c r="AK10" s="387"/>
      <c r="AL10" s="387"/>
      <c r="AM10" s="387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412"/>
      <c r="BR10" s="76">
        <f t="shared" ref="BR10:BR28" si="3">IFERROR(AVERAGE(C10:BQ10),"Нет оценок")</f>
        <v>4.0555555555555554</v>
      </c>
      <c r="BS10" s="77">
        <f t="shared" ref="BS10:BS28" si="4">COUNTIF(C10:BQ10,"н/у")</f>
        <v>0</v>
      </c>
      <c r="BT10" s="77">
        <f t="shared" ref="BT10:BT28" si="5">COUNTIF(C10:BQ10,"н")</f>
        <v>0</v>
      </c>
    </row>
    <row r="11" spans="1:72" ht="16.5" customHeight="1">
      <c r="A11" s="144" t="s">
        <v>59</v>
      </c>
      <c r="B11" s="137" t="s">
        <v>60</v>
      </c>
      <c r="C11" s="397" t="s">
        <v>46</v>
      </c>
      <c r="D11" s="398"/>
      <c r="E11" s="398">
        <v>5</v>
      </c>
      <c r="F11" s="398" t="s">
        <v>46</v>
      </c>
      <c r="G11" s="399" t="s">
        <v>37</v>
      </c>
      <c r="H11" s="397"/>
      <c r="I11" s="398"/>
      <c r="J11" s="400">
        <v>2</v>
      </c>
      <c r="K11" s="413" t="s">
        <v>34</v>
      </c>
      <c r="L11" s="398"/>
      <c r="M11" s="414" t="s">
        <v>35</v>
      </c>
      <c r="N11" s="414" t="s">
        <v>48</v>
      </c>
      <c r="O11" s="414" t="s">
        <v>48</v>
      </c>
      <c r="P11" s="414" t="s">
        <v>48</v>
      </c>
      <c r="Q11" s="399"/>
      <c r="R11" s="397">
        <v>4</v>
      </c>
      <c r="S11" s="398"/>
      <c r="T11" s="401">
        <v>2</v>
      </c>
      <c r="U11" s="398"/>
      <c r="V11" s="398"/>
      <c r="W11" s="398">
        <v>3</v>
      </c>
      <c r="X11" s="402">
        <v>5</v>
      </c>
      <c r="Y11" s="403" t="s">
        <v>37</v>
      </c>
      <c r="Z11" s="398">
        <v>3</v>
      </c>
      <c r="AA11" s="398" t="s">
        <v>226</v>
      </c>
      <c r="AB11" s="398">
        <v>4</v>
      </c>
      <c r="AC11" s="398">
        <v>5</v>
      </c>
      <c r="AD11" s="398"/>
      <c r="AE11" s="398"/>
      <c r="AF11" s="398" t="s">
        <v>34</v>
      </c>
      <c r="AG11" s="398">
        <v>4</v>
      </c>
      <c r="AH11" s="401"/>
      <c r="AI11" s="398" t="s">
        <v>36</v>
      </c>
      <c r="AJ11" s="398">
        <v>3</v>
      </c>
      <c r="AK11" s="398"/>
      <c r="AL11" s="398"/>
      <c r="AM11" s="398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97"/>
      <c r="BR11" s="76">
        <f t="shared" si="3"/>
        <v>3.6363636363636362</v>
      </c>
      <c r="BS11" s="77">
        <f t="shared" si="4"/>
        <v>3</v>
      </c>
      <c r="BT11" s="77">
        <f t="shared" si="5"/>
        <v>2</v>
      </c>
    </row>
    <row r="12" spans="1:72" ht="16.5" customHeight="1">
      <c r="A12" s="144" t="s">
        <v>61</v>
      </c>
      <c r="B12" s="137" t="s">
        <v>62</v>
      </c>
      <c r="C12" s="397" t="s">
        <v>34</v>
      </c>
      <c r="D12" s="398"/>
      <c r="E12" s="415">
        <v>4</v>
      </c>
      <c r="F12" s="416" t="s">
        <v>34</v>
      </c>
      <c r="G12" s="397" t="s">
        <v>34</v>
      </c>
      <c r="H12" s="403"/>
      <c r="I12" s="398" t="s">
        <v>46</v>
      </c>
      <c r="J12" s="400"/>
      <c r="K12" s="397" t="s">
        <v>228</v>
      </c>
      <c r="L12" s="398"/>
      <c r="M12" s="398"/>
      <c r="N12" s="398"/>
      <c r="O12" s="398"/>
      <c r="P12" s="398">
        <v>2</v>
      </c>
      <c r="Q12" s="399"/>
      <c r="R12" s="397"/>
      <c r="S12" s="398"/>
      <c r="T12" s="401">
        <v>2</v>
      </c>
      <c r="U12" s="398">
        <v>5</v>
      </c>
      <c r="V12" s="398">
        <v>2</v>
      </c>
      <c r="W12" s="398">
        <v>3</v>
      </c>
      <c r="X12" s="402">
        <v>4</v>
      </c>
      <c r="Y12" s="403" t="s">
        <v>37</v>
      </c>
      <c r="Z12" s="398">
        <v>3</v>
      </c>
      <c r="AA12" s="398" t="s">
        <v>46</v>
      </c>
      <c r="AB12" s="398" t="s">
        <v>46</v>
      </c>
      <c r="AC12" s="398">
        <v>4</v>
      </c>
      <c r="AD12" s="398" t="s">
        <v>46</v>
      </c>
      <c r="AE12" s="398"/>
      <c r="AF12" s="398"/>
      <c r="AG12" s="398">
        <v>2</v>
      </c>
      <c r="AH12" s="401"/>
      <c r="AI12" s="398"/>
      <c r="AJ12" s="398">
        <v>3</v>
      </c>
      <c r="AK12" s="398"/>
      <c r="AL12" s="398"/>
      <c r="AM12" s="398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97"/>
      <c r="BR12" s="76">
        <f t="shared" si="3"/>
        <v>3.0909090909090908</v>
      </c>
      <c r="BS12" s="77">
        <f t="shared" si="4"/>
        <v>0</v>
      </c>
      <c r="BT12" s="77">
        <f t="shared" si="5"/>
        <v>4</v>
      </c>
    </row>
    <row r="13" spans="1:72" ht="16.5" customHeight="1">
      <c r="A13" s="144" t="s">
        <v>63</v>
      </c>
      <c r="B13" s="150" t="s">
        <v>64</v>
      </c>
      <c r="C13" s="386"/>
      <c r="D13" s="387" t="s">
        <v>46</v>
      </c>
      <c r="E13" s="387">
        <v>2</v>
      </c>
      <c r="F13" s="387"/>
      <c r="G13" s="388">
        <v>2</v>
      </c>
      <c r="H13" s="386">
        <v>3</v>
      </c>
      <c r="I13" s="387" t="s">
        <v>36</v>
      </c>
      <c r="J13" s="389"/>
      <c r="K13" s="386"/>
      <c r="L13" s="387"/>
      <c r="M13" s="387">
        <v>4</v>
      </c>
      <c r="N13" s="387" t="s">
        <v>46</v>
      </c>
      <c r="O13" s="387" t="s">
        <v>46</v>
      </c>
      <c r="P13" s="387">
        <v>3</v>
      </c>
      <c r="Q13" s="388"/>
      <c r="R13" s="386" t="s">
        <v>46</v>
      </c>
      <c r="S13" s="387"/>
      <c r="T13" s="390">
        <v>2</v>
      </c>
      <c r="U13" s="387" t="s">
        <v>46</v>
      </c>
      <c r="V13" s="387">
        <v>2</v>
      </c>
      <c r="W13" s="387">
        <v>2</v>
      </c>
      <c r="X13" s="391" t="s">
        <v>46</v>
      </c>
      <c r="Y13" s="392" t="s">
        <v>46</v>
      </c>
      <c r="Z13" s="387">
        <v>2</v>
      </c>
      <c r="AA13" s="387" t="s">
        <v>46</v>
      </c>
      <c r="AB13" s="387" t="s">
        <v>46</v>
      </c>
      <c r="AC13" s="387" t="s">
        <v>46</v>
      </c>
      <c r="AD13" s="387" t="s">
        <v>46</v>
      </c>
      <c r="AE13" s="387" t="s">
        <v>46</v>
      </c>
      <c r="AF13" s="387" t="s">
        <v>46</v>
      </c>
      <c r="AG13" s="387" t="s">
        <v>46</v>
      </c>
      <c r="AH13" s="390"/>
      <c r="AI13" s="387" t="s">
        <v>46</v>
      </c>
      <c r="AJ13" s="387">
        <v>2</v>
      </c>
      <c r="AK13" s="387"/>
      <c r="AL13" s="387"/>
      <c r="AM13" s="387"/>
      <c r="AN13" s="96"/>
      <c r="AO13" s="238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412"/>
      <c r="BR13" s="76">
        <f t="shared" si="3"/>
        <v>2.4</v>
      </c>
      <c r="BS13" s="77">
        <f t="shared" si="4"/>
        <v>0</v>
      </c>
      <c r="BT13" s="77">
        <f t="shared" si="5"/>
        <v>15</v>
      </c>
    </row>
    <row r="14" spans="1:72" ht="16.5" customHeight="1">
      <c r="A14" s="146" t="s">
        <v>65</v>
      </c>
      <c r="B14" s="151" t="s">
        <v>66</v>
      </c>
      <c r="C14" s="417"/>
      <c r="D14" s="418"/>
      <c r="E14" s="418">
        <v>2</v>
      </c>
      <c r="F14" s="418"/>
      <c r="G14" s="419"/>
      <c r="H14" s="417"/>
      <c r="I14" s="418"/>
      <c r="J14" s="420" t="s">
        <v>34</v>
      </c>
      <c r="K14" s="417"/>
      <c r="L14" s="418"/>
      <c r="M14" s="418"/>
      <c r="N14" s="418"/>
      <c r="O14" s="418"/>
      <c r="P14" s="418">
        <v>2</v>
      </c>
      <c r="Q14" s="419"/>
      <c r="R14" s="417"/>
      <c r="S14" s="418"/>
      <c r="T14" s="421">
        <v>2</v>
      </c>
      <c r="U14" s="418"/>
      <c r="V14" s="418"/>
      <c r="W14" s="418">
        <v>2</v>
      </c>
      <c r="X14" s="422">
        <v>2</v>
      </c>
      <c r="Y14" s="423" t="s">
        <v>37</v>
      </c>
      <c r="Z14" s="418">
        <v>2</v>
      </c>
      <c r="AA14" s="418" t="s">
        <v>226</v>
      </c>
      <c r="AB14" s="418" t="s">
        <v>46</v>
      </c>
      <c r="AC14" s="418">
        <v>3</v>
      </c>
      <c r="AD14" s="418" t="s">
        <v>46</v>
      </c>
      <c r="AE14" s="418"/>
      <c r="AF14" s="418"/>
      <c r="AG14" s="418" t="s">
        <v>46</v>
      </c>
      <c r="AH14" s="421"/>
      <c r="AI14" s="418"/>
      <c r="AJ14" s="418">
        <v>2</v>
      </c>
      <c r="AK14" s="418"/>
      <c r="AL14" s="418"/>
      <c r="AM14" s="418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7"/>
      <c r="BR14" s="76">
        <f t="shared" si="3"/>
        <v>2.125</v>
      </c>
      <c r="BS14" s="77">
        <f t="shared" si="4"/>
        <v>0</v>
      </c>
      <c r="BT14" s="77">
        <f t="shared" si="5"/>
        <v>3</v>
      </c>
    </row>
    <row r="15" spans="1:72" ht="16.5" customHeight="1">
      <c r="A15" s="149" t="s">
        <v>67</v>
      </c>
      <c r="B15" s="150" t="s">
        <v>68</v>
      </c>
      <c r="C15" s="386"/>
      <c r="D15" s="387"/>
      <c r="E15" s="387">
        <v>4</v>
      </c>
      <c r="F15" s="387"/>
      <c r="G15" s="388"/>
      <c r="H15" s="386"/>
      <c r="I15" s="387" t="s">
        <v>34</v>
      </c>
      <c r="J15" s="389">
        <v>3</v>
      </c>
      <c r="K15" s="386">
        <v>4</v>
      </c>
      <c r="L15" s="387"/>
      <c r="M15" s="424"/>
      <c r="N15" s="387"/>
      <c r="O15" s="387"/>
      <c r="P15" s="387">
        <v>4</v>
      </c>
      <c r="Q15" s="388"/>
      <c r="R15" s="386">
        <v>4</v>
      </c>
      <c r="S15" s="387"/>
      <c r="T15" s="390">
        <v>2</v>
      </c>
      <c r="U15" s="387"/>
      <c r="V15" s="387">
        <v>2</v>
      </c>
      <c r="W15" s="387">
        <v>2</v>
      </c>
      <c r="X15" s="391">
        <v>5</v>
      </c>
      <c r="Y15" s="392"/>
      <c r="Z15" s="387">
        <v>3</v>
      </c>
      <c r="AA15" s="387" t="s">
        <v>226</v>
      </c>
      <c r="AB15" s="387">
        <v>5</v>
      </c>
      <c r="AC15" s="387">
        <v>3</v>
      </c>
      <c r="AD15" s="387"/>
      <c r="AE15" s="387"/>
      <c r="AF15" s="387"/>
      <c r="AG15" s="387" t="s">
        <v>46</v>
      </c>
      <c r="AH15" s="390"/>
      <c r="AI15" s="387"/>
      <c r="AJ15" s="387">
        <v>2</v>
      </c>
      <c r="AK15" s="387"/>
      <c r="AL15" s="387"/>
      <c r="AM15" s="387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412"/>
      <c r="BR15" s="76">
        <f t="shared" si="3"/>
        <v>3.3076923076923075</v>
      </c>
      <c r="BS15" s="77">
        <f t="shared" si="4"/>
        <v>0</v>
      </c>
      <c r="BT15" s="77">
        <f t="shared" si="5"/>
        <v>1</v>
      </c>
    </row>
    <row r="16" spans="1:72" ht="16.5" customHeight="1">
      <c r="A16" s="144" t="s">
        <v>69</v>
      </c>
      <c r="B16" s="137" t="s">
        <v>70</v>
      </c>
      <c r="C16" s="397" t="s">
        <v>46</v>
      </c>
      <c r="D16" s="398"/>
      <c r="E16" s="398">
        <v>4</v>
      </c>
      <c r="F16" s="398"/>
      <c r="G16" s="399" t="s">
        <v>46</v>
      </c>
      <c r="H16" s="397"/>
      <c r="I16" s="398"/>
      <c r="J16" s="400">
        <v>3</v>
      </c>
      <c r="K16" s="397" t="s">
        <v>36</v>
      </c>
      <c r="L16" s="415"/>
      <c r="M16" s="398"/>
      <c r="N16" s="403" t="s">
        <v>34</v>
      </c>
      <c r="O16" s="403" t="s">
        <v>46</v>
      </c>
      <c r="P16" s="425" t="s">
        <v>48</v>
      </c>
      <c r="Q16" s="399"/>
      <c r="R16" s="397">
        <v>4</v>
      </c>
      <c r="S16" s="398"/>
      <c r="T16" s="401">
        <v>2</v>
      </c>
      <c r="U16" s="398"/>
      <c r="V16" s="398" t="s">
        <v>36</v>
      </c>
      <c r="W16" s="398">
        <v>3</v>
      </c>
      <c r="X16" s="402" t="s">
        <v>46</v>
      </c>
      <c r="Y16" s="403" t="s">
        <v>226</v>
      </c>
      <c r="Z16" s="398">
        <v>3</v>
      </c>
      <c r="AA16" s="398" t="s">
        <v>46</v>
      </c>
      <c r="AB16" s="398" t="s">
        <v>46</v>
      </c>
      <c r="AC16" s="398">
        <v>2</v>
      </c>
      <c r="AD16" s="398"/>
      <c r="AE16" s="398"/>
      <c r="AF16" s="398" t="s">
        <v>46</v>
      </c>
      <c r="AG16" s="398">
        <v>2</v>
      </c>
      <c r="AH16" s="401" t="s">
        <v>46</v>
      </c>
      <c r="AI16" s="398" t="s">
        <v>36</v>
      </c>
      <c r="AJ16" s="398">
        <v>4</v>
      </c>
      <c r="AK16" s="398"/>
      <c r="AL16" s="398"/>
      <c r="AM16" s="398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97"/>
      <c r="BR16" s="76">
        <f t="shared" si="3"/>
        <v>3</v>
      </c>
      <c r="BS16" s="77">
        <f t="shared" si="4"/>
        <v>1</v>
      </c>
      <c r="BT16" s="77">
        <f t="shared" si="5"/>
        <v>8</v>
      </c>
    </row>
    <row r="17" spans="1:72" ht="16.5" customHeight="1">
      <c r="A17" s="144" t="s">
        <v>71</v>
      </c>
      <c r="B17" s="137" t="s">
        <v>72</v>
      </c>
      <c r="C17" s="397"/>
      <c r="D17" s="398"/>
      <c r="E17" s="398">
        <v>4</v>
      </c>
      <c r="F17" s="398" t="s">
        <v>46</v>
      </c>
      <c r="G17" s="399" t="s">
        <v>36</v>
      </c>
      <c r="H17" s="397" t="s">
        <v>46</v>
      </c>
      <c r="I17" s="398" t="s">
        <v>46</v>
      </c>
      <c r="J17" s="400" t="s">
        <v>46</v>
      </c>
      <c r="K17" s="397" t="s">
        <v>46</v>
      </c>
      <c r="L17" s="415" t="s">
        <v>46</v>
      </c>
      <c r="M17" s="426" t="s">
        <v>48</v>
      </c>
      <c r="N17" s="398" t="s">
        <v>36</v>
      </c>
      <c r="O17" s="398"/>
      <c r="P17" s="398" t="s">
        <v>46</v>
      </c>
      <c r="Q17" s="399"/>
      <c r="R17" s="397" t="s">
        <v>46</v>
      </c>
      <c r="S17" s="398"/>
      <c r="T17" s="401">
        <v>2</v>
      </c>
      <c r="U17" s="398" t="s">
        <v>46</v>
      </c>
      <c r="V17" s="398" t="s">
        <v>46</v>
      </c>
      <c r="W17" s="398">
        <v>2</v>
      </c>
      <c r="X17" s="402" t="s">
        <v>46</v>
      </c>
      <c r="Y17" s="403" t="s">
        <v>46</v>
      </c>
      <c r="Z17" s="398">
        <v>3</v>
      </c>
      <c r="AA17" s="398" t="s">
        <v>226</v>
      </c>
      <c r="AB17" s="398" t="s">
        <v>46</v>
      </c>
      <c r="AC17" s="398">
        <v>5</v>
      </c>
      <c r="AD17" s="398"/>
      <c r="AE17" s="398" t="s">
        <v>46</v>
      </c>
      <c r="AF17" s="398" t="s">
        <v>36</v>
      </c>
      <c r="AG17" s="398">
        <v>4</v>
      </c>
      <c r="AH17" s="401" t="s">
        <v>36</v>
      </c>
      <c r="AI17" s="398" t="s">
        <v>36</v>
      </c>
      <c r="AJ17" s="398" t="s">
        <v>46</v>
      </c>
      <c r="AK17" s="398"/>
      <c r="AL17" s="398"/>
      <c r="AM17" s="398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97"/>
      <c r="BR17" s="76">
        <f t="shared" si="3"/>
        <v>3.3333333333333335</v>
      </c>
      <c r="BS17" s="77">
        <f t="shared" si="4"/>
        <v>1</v>
      </c>
      <c r="BT17" s="77">
        <f t="shared" si="5"/>
        <v>15</v>
      </c>
    </row>
    <row r="18" spans="1:72" ht="16.5" customHeight="1">
      <c r="A18" s="144" t="s">
        <v>73</v>
      </c>
      <c r="B18" s="150" t="s">
        <v>74</v>
      </c>
      <c r="C18" s="386"/>
      <c r="D18" s="387"/>
      <c r="E18" s="387">
        <v>4</v>
      </c>
      <c r="F18" s="387"/>
      <c r="G18" s="388" t="s">
        <v>37</v>
      </c>
      <c r="H18" s="386">
        <v>3</v>
      </c>
      <c r="I18" s="387"/>
      <c r="J18" s="389">
        <v>2</v>
      </c>
      <c r="K18" s="386"/>
      <c r="L18" s="387"/>
      <c r="M18" s="387"/>
      <c r="N18" s="387"/>
      <c r="O18" s="387"/>
      <c r="P18" s="387">
        <v>5</v>
      </c>
      <c r="Q18" s="388"/>
      <c r="R18" s="386"/>
      <c r="S18" s="387"/>
      <c r="T18" s="390">
        <v>2</v>
      </c>
      <c r="U18" s="387" t="s">
        <v>46</v>
      </c>
      <c r="V18" s="387"/>
      <c r="W18" s="387">
        <v>2</v>
      </c>
      <c r="X18" s="391" t="s">
        <v>46</v>
      </c>
      <c r="Y18" s="392" t="s">
        <v>37</v>
      </c>
      <c r="Z18" s="387">
        <v>2</v>
      </c>
      <c r="AA18" s="387" t="s">
        <v>226</v>
      </c>
      <c r="AB18" s="387" t="s">
        <v>46</v>
      </c>
      <c r="AC18" s="387" t="s">
        <v>46</v>
      </c>
      <c r="AD18" s="387" t="s">
        <v>46</v>
      </c>
      <c r="AE18" s="387"/>
      <c r="AF18" s="387"/>
      <c r="AG18" s="387" t="s">
        <v>46</v>
      </c>
      <c r="AH18" s="390"/>
      <c r="AI18" s="387"/>
      <c r="AJ18" s="387">
        <v>4</v>
      </c>
      <c r="AK18" s="387"/>
      <c r="AL18" s="387"/>
      <c r="AM18" s="387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412"/>
      <c r="BR18" s="76">
        <f t="shared" si="3"/>
        <v>3</v>
      </c>
      <c r="BS18" s="77">
        <f t="shared" si="4"/>
        <v>0</v>
      </c>
      <c r="BT18" s="77">
        <f t="shared" si="5"/>
        <v>6</v>
      </c>
    </row>
    <row r="19" spans="1:72" ht="16.5" customHeight="1">
      <c r="A19" s="146" t="s">
        <v>75</v>
      </c>
      <c r="B19" s="151" t="s">
        <v>76</v>
      </c>
      <c r="C19" s="417"/>
      <c r="D19" s="418"/>
      <c r="E19" s="418">
        <v>3</v>
      </c>
      <c r="F19" s="418">
        <v>4</v>
      </c>
      <c r="G19" s="419" t="s">
        <v>36</v>
      </c>
      <c r="H19" s="427" t="s">
        <v>34</v>
      </c>
      <c r="I19" s="418"/>
      <c r="J19" s="428" t="s">
        <v>34</v>
      </c>
      <c r="K19" s="417" t="s">
        <v>36</v>
      </c>
      <c r="L19" s="418"/>
      <c r="M19" s="418"/>
      <c r="N19" s="418" t="s">
        <v>36</v>
      </c>
      <c r="O19" s="418">
        <v>4</v>
      </c>
      <c r="P19" s="418">
        <v>2</v>
      </c>
      <c r="Q19" s="419">
        <v>3</v>
      </c>
      <c r="R19" s="417">
        <v>3</v>
      </c>
      <c r="S19" s="418"/>
      <c r="T19" s="421">
        <v>2</v>
      </c>
      <c r="U19" s="418" t="s">
        <v>37</v>
      </c>
      <c r="V19" s="418" t="s">
        <v>36</v>
      </c>
      <c r="W19" s="418">
        <v>3</v>
      </c>
      <c r="X19" s="422">
        <v>5</v>
      </c>
      <c r="Y19" s="423" t="s">
        <v>46</v>
      </c>
      <c r="Z19" s="418">
        <v>3</v>
      </c>
      <c r="AA19" s="418">
        <v>5</v>
      </c>
      <c r="AB19" s="418">
        <v>4</v>
      </c>
      <c r="AC19" s="418">
        <v>2</v>
      </c>
      <c r="AD19" s="418"/>
      <c r="AE19" s="418"/>
      <c r="AF19" s="418"/>
      <c r="AG19" s="418">
        <v>4</v>
      </c>
      <c r="AH19" s="421"/>
      <c r="AI19" s="418"/>
      <c r="AJ19" s="418">
        <v>3</v>
      </c>
      <c r="AK19" s="418"/>
      <c r="AL19" s="418"/>
      <c r="AM19" s="418"/>
      <c r="AN19" s="418"/>
      <c r="AO19" s="418"/>
      <c r="AP19" s="418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7"/>
      <c r="BR19" s="76">
        <f t="shared" si="3"/>
        <v>3.3333333333333335</v>
      </c>
      <c r="BS19" s="77">
        <f t="shared" si="4"/>
        <v>0</v>
      </c>
      <c r="BT19" s="77">
        <f t="shared" si="5"/>
        <v>1</v>
      </c>
    </row>
    <row r="20" spans="1:72" ht="16.5" customHeight="1">
      <c r="A20" s="149" t="s">
        <v>77</v>
      </c>
      <c r="B20" s="150" t="s">
        <v>78</v>
      </c>
      <c r="C20" s="386"/>
      <c r="D20" s="387"/>
      <c r="E20" s="387">
        <v>4</v>
      </c>
      <c r="F20" s="387"/>
      <c r="G20" s="388" t="s">
        <v>37</v>
      </c>
      <c r="H20" s="386"/>
      <c r="I20" s="387"/>
      <c r="J20" s="389">
        <v>2</v>
      </c>
      <c r="K20" s="386"/>
      <c r="L20" s="387"/>
      <c r="M20" s="387"/>
      <c r="N20" s="387"/>
      <c r="O20" s="387"/>
      <c r="P20" s="387">
        <v>4</v>
      </c>
      <c r="Q20" s="388">
        <v>3</v>
      </c>
      <c r="R20" s="386">
        <v>3</v>
      </c>
      <c r="S20" s="387"/>
      <c r="T20" s="390">
        <v>2</v>
      </c>
      <c r="U20" s="387">
        <v>4</v>
      </c>
      <c r="V20" s="387" t="s">
        <v>46</v>
      </c>
      <c r="W20" s="387">
        <v>3</v>
      </c>
      <c r="X20" s="391">
        <v>4</v>
      </c>
      <c r="Y20" s="392" t="s">
        <v>37</v>
      </c>
      <c r="Z20" s="387">
        <v>2</v>
      </c>
      <c r="AA20" s="429" t="s">
        <v>46</v>
      </c>
      <c r="AB20" s="387">
        <v>3</v>
      </c>
      <c r="AC20" s="430" t="s">
        <v>46</v>
      </c>
      <c r="AD20" s="387"/>
      <c r="AE20" s="387"/>
      <c r="AF20" s="387"/>
      <c r="AG20" s="387">
        <v>4</v>
      </c>
      <c r="AH20" s="390"/>
      <c r="AI20" s="387"/>
      <c r="AJ20" s="387">
        <v>2</v>
      </c>
      <c r="AK20" s="387"/>
      <c r="AL20" s="387"/>
      <c r="AM20" s="387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412"/>
      <c r="BR20" s="76">
        <f t="shared" si="3"/>
        <v>3.0769230769230771</v>
      </c>
      <c r="BS20" s="77">
        <f t="shared" si="4"/>
        <v>0</v>
      </c>
      <c r="BT20" s="77">
        <f t="shared" si="5"/>
        <v>3</v>
      </c>
    </row>
    <row r="21" spans="1:72" ht="16.5" customHeight="1">
      <c r="A21" s="144" t="s">
        <v>79</v>
      </c>
      <c r="B21" s="137" t="s">
        <v>80</v>
      </c>
      <c r="C21" s="397"/>
      <c r="D21" s="398"/>
      <c r="E21" s="398">
        <v>3</v>
      </c>
      <c r="F21" s="398"/>
      <c r="G21" s="399">
        <v>4</v>
      </c>
      <c r="H21" s="397">
        <v>4</v>
      </c>
      <c r="I21" s="398"/>
      <c r="J21" s="400">
        <v>2</v>
      </c>
      <c r="K21" s="397" t="s">
        <v>36</v>
      </c>
      <c r="L21" s="398"/>
      <c r="M21" s="398"/>
      <c r="N21" s="398" t="s">
        <v>37</v>
      </c>
      <c r="O21" s="398"/>
      <c r="P21" s="398">
        <v>2</v>
      </c>
      <c r="Q21" s="399">
        <v>4</v>
      </c>
      <c r="R21" s="397">
        <v>4</v>
      </c>
      <c r="S21" s="398"/>
      <c r="T21" s="401">
        <v>2</v>
      </c>
      <c r="U21" s="398" t="s">
        <v>37</v>
      </c>
      <c r="V21" s="398" t="s">
        <v>36</v>
      </c>
      <c r="W21" s="398">
        <v>3</v>
      </c>
      <c r="X21" s="402">
        <v>5</v>
      </c>
      <c r="Y21" s="403" t="s">
        <v>37</v>
      </c>
      <c r="Z21" s="398">
        <v>3</v>
      </c>
      <c r="AA21" s="398" t="s">
        <v>46</v>
      </c>
      <c r="AB21" s="398" t="s">
        <v>46</v>
      </c>
      <c r="AC21" s="398" t="s">
        <v>46</v>
      </c>
      <c r="AD21" s="398" t="s">
        <v>46</v>
      </c>
      <c r="AE21" s="398" t="s">
        <v>46</v>
      </c>
      <c r="AF21" s="398" t="s">
        <v>37</v>
      </c>
      <c r="AG21" s="398" t="s">
        <v>46</v>
      </c>
      <c r="AH21" s="401"/>
      <c r="AI21" s="398"/>
      <c r="AJ21" s="398">
        <v>4</v>
      </c>
      <c r="AK21" s="398"/>
      <c r="AL21" s="398"/>
      <c r="AM21" s="398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97"/>
      <c r="BR21" s="76">
        <f t="shared" si="3"/>
        <v>3.3333333333333335</v>
      </c>
      <c r="BS21" s="77">
        <f t="shared" si="4"/>
        <v>0</v>
      </c>
      <c r="BT21" s="77">
        <f t="shared" si="5"/>
        <v>6</v>
      </c>
    </row>
    <row r="22" spans="1:72" ht="16.5" customHeight="1">
      <c r="A22" s="144" t="s">
        <v>81</v>
      </c>
      <c r="B22" s="137" t="s">
        <v>82</v>
      </c>
      <c r="C22" s="397" t="s">
        <v>34</v>
      </c>
      <c r="D22" s="398"/>
      <c r="E22" s="398">
        <v>4</v>
      </c>
      <c r="F22" s="398"/>
      <c r="G22" s="399">
        <v>4</v>
      </c>
      <c r="H22" s="397"/>
      <c r="I22" s="398"/>
      <c r="J22" s="400">
        <v>2</v>
      </c>
      <c r="K22" s="397"/>
      <c r="L22" s="398"/>
      <c r="M22" s="398" t="s">
        <v>37</v>
      </c>
      <c r="N22" s="398"/>
      <c r="O22" s="398"/>
      <c r="P22" s="398">
        <v>5</v>
      </c>
      <c r="Q22" s="399">
        <v>3</v>
      </c>
      <c r="R22" s="397"/>
      <c r="S22" s="398"/>
      <c r="T22" s="401">
        <v>3</v>
      </c>
      <c r="U22" s="398">
        <v>4</v>
      </c>
      <c r="V22" s="398"/>
      <c r="W22" s="398">
        <v>3</v>
      </c>
      <c r="X22" s="402">
        <v>4</v>
      </c>
      <c r="Y22" s="403" t="s">
        <v>37</v>
      </c>
      <c r="Z22" s="398">
        <v>3</v>
      </c>
      <c r="AA22" s="398">
        <v>4</v>
      </c>
      <c r="AB22" s="398">
        <v>4</v>
      </c>
      <c r="AC22" s="398">
        <v>2</v>
      </c>
      <c r="AD22" s="398"/>
      <c r="AE22" s="398"/>
      <c r="AF22" s="398" t="s">
        <v>46</v>
      </c>
      <c r="AG22" s="398">
        <v>4</v>
      </c>
      <c r="AH22" s="401"/>
      <c r="AI22" s="398" t="s">
        <v>46</v>
      </c>
      <c r="AJ22" s="398">
        <v>3</v>
      </c>
      <c r="AK22" s="398"/>
      <c r="AL22" s="398"/>
      <c r="AM22" s="398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97"/>
      <c r="BR22" s="76">
        <f t="shared" si="3"/>
        <v>3.4666666666666668</v>
      </c>
      <c r="BS22" s="77">
        <f t="shared" si="4"/>
        <v>0</v>
      </c>
      <c r="BT22" s="77">
        <f t="shared" si="5"/>
        <v>2</v>
      </c>
    </row>
    <row r="23" spans="1:72" ht="16.5" customHeight="1">
      <c r="A23" s="144" t="s">
        <v>83</v>
      </c>
      <c r="B23" s="150" t="s">
        <v>84</v>
      </c>
      <c r="C23" s="386"/>
      <c r="D23" s="387" t="s">
        <v>46</v>
      </c>
      <c r="E23" s="387">
        <v>4</v>
      </c>
      <c r="F23" s="387">
        <v>5</v>
      </c>
      <c r="G23" s="388" t="s">
        <v>46</v>
      </c>
      <c r="H23" s="386">
        <v>4</v>
      </c>
      <c r="I23" s="387" t="s">
        <v>36</v>
      </c>
      <c r="J23" s="389">
        <v>3</v>
      </c>
      <c r="K23" s="386" t="s">
        <v>228</v>
      </c>
      <c r="L23" s="387"/>
      <c r="M23" s="387" t="s">
        <v>36</v>
      </c>
      <c r="N23" s="387" t="s">
        <v>46</v>
      </c>
      <c r="O23" s="387"/>
      <c r="P23" s="387">
        <v>4</v>
      </c>
      <c r="Q23" s="388">
        <v>4</v>
      </c>
      <c r="R23" s="386">
        <v>4</v>
      </c>
      <c r="S23" s="387"/>
      <c r="T23" s="390">
        <v>3</v>
      </c>
      <c r="U23" s="387"/>
      <c r="V23" s="387" t="s">
        <v>46</v>
      </c>
      <c r="W23" s="387" t="s">
        <v>46</v>
      </c>
      <c r="X23" s="391" t="s">
        <v>46</v>
      </c>
      <c r="Y23" s="392" t="s">
        <v>46</v>
      </c>
      <c r="Z23" s="387" t="s">
        <v>46</v>
      </c>
      <c r="AA23" s="387" t="s">
        <v>46</v>
      </c>
      <c r="AB23" s="387">
        <v>3</v>
      </c>
      <c r="AC23" s="387">
        <v>5</v>
      </c>
      <c r="AD23" s="387" t="s">
        <v>46</v>
      </c>
      <c r="AE23" s="387" t="s">
        <v>46</v>
      </c>
      <c r="AF23" s="387">
        <v>4</v>
      </c>
      <c r="AG23" s="387">
        <v>4</v>
      </c>
      <c r="AH23" s="390" t="s">
        <v>46</v>
      </c>
      <c r="AI23" s="387" t="s">
        <v>46</v>
      </c>
      <c r="AJ23" s="387" t="s">
        <v>46</v>
      </c>
      <c r="AK23" s="387"/>
      <c r="AL23" s="387"/>
      <c r="AM23" s="387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412"/>
      <c r="BR23" s="76">
        <f t="shared" si="3"/>
        <v>3.9166666666666665</v>
      </c>
      <c r="BS23" s="77">
        <f t="shared" si="4"/>
        <v>0</v>
      </c>
      <c r="BT23" s="77">
        <f t="shared" si="5"/>
        <v>14</v>
      </c>
    </row>
    <row r="24" spans="1:72" ht="16.5" customHeight="1">
      <c r="A24" s="154" t="s">
        <v>27</v>
      </c>
      <c r="B24" s="151" t="s">
        <v>85</v>
      </c>
      <c r="C24" s="417"/>
      <c r="D24" s="418"/>
      <c r="E24" s="418">
        <v>3</v>
      </c>
      <c r="F24" s="418"/>
      <c r="G24" s="419">
        <v>4</v>
      </c>
      <c r="H24" s="417"/>
      <c r="I24" s="418"/>
      <c r="J24" s="420">
        <v>3</v>
      </c>
      <c r="K24" s="417"/>
      <c r="L24" s="418"/>
      <c r="M24" s="418"/>
      <c r="N24" s="418"/>
      <c r="O24" s="418"/>
      <c r="P24" s="418"/>
      <c r="Q24" s="419"/>
      <c r="R24" s="417">
        <v>4</v>
      </c>
      <c r="S24" s="418"/>
      <c r="T24" s="421">
        <v>2</v>
      </c>
      <c r="U24" s="431" t="s">
        <v>37</v>
      </c>
      <c r="V24" s="418" t="s">
        <v>35</v>
      </c>
      <c r="W24" s="418">
        <v>3</v>
      </c>
      <c r="X24" s="422">
        <v>5</v>
      </c>
      <c r="Y24" s="423" t="s">
        <v>37</v>
      </c>
      <c r="Z24" s="418">
        <v>3</v>
      </c>
      <c r="AA24" s="418">
        <v>4</v>
      </c>
      <c r="AB24" s="418">
        <v>4</v>
      </c>
      <c r="AC24" s="418">
        <v>4</v>
      </c>
      <c r="AD24" s="418"/>
      <c r="AE24" s="418"/>
      <c r="AF24" s="418">
        <v>4</v>
      </c>
      <c r="AG24" s="418">
        <v>4</v>
      </c>
      <c r="AH24" s="421"/>
      <c r="AI24" s="418"/>
      <c r="AJ24" s="418">
        <v>4</v>
      </c>
      <c r="AK24" s="418"/>
      <c r="AL24" s="418"/>
      <c r="AM24" s="418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107"/>
      <c r="BR24" s="76">
        <f t="shared" si="3"/>
        <v>3.6428571428571428</v>
      </c>
      <c r="BS24" s="77">
        <f t="shared" si="4"/>
        <v>0</v>
      </c>
      <c r="BT24" s="77">
        <f t="shared" si="5"/>
        <v>0</v>
      </c>
    </row>
    <row r="25" spans="1:72" ht="16.5" customHeight="1">
      <c r="A25" s="156" t="s">
        <v>86</v>
      </c>
      <c r="B25" s="150" t="s">
        <v>87</v>
      </c>
      <c r="C25" s="386"/>
      <c r="D25" s="387" t="s">
        <v>46</v>
      </c>
      <c r="E25" s="387">
        <v>2</v>
      </c>
      <c r="F25" s="387"/>
      <c r="G25" s="388" t="s">
        <v>46</v>
      </c>
      <c r="H25" s="386"/>
      <c r="I25" s="387" t="s">
        <v>46</v>
      </c>
      <c r="J25" s="389">
        <v>2</v>
      </c>
      <c r="K25" s="386" t="s">
        <v>46</v>
      </c>
      <c r="L25" s="387" t="s">
        <v>46</v>
      </c>
      <c r="M25" s="387"/>
      <c r="N25" s="387" t="s">
        <v>46</v>
      </c>
      <c r="O25" s="387" t="s">
        <v>46</v>
      </c>
      <c r="P25" s="387">
        <v>2</v>
      </c>
      <c r="Q25" s="393">
        <v>3</v>
      </c>
      <c r="R25" s="432" t="s">
        <v>48</v>
      </c>
      <c r="S25" s="157" t="s">
        <v>48</v>
      </c>
      <c r="T25" s="433" t="s">
        <v>48</v>
      </c>
      <c r="U25" s="157" t="s">
        <v>48</v>
      </c>
      <c r="V25" s="392">
        <v>2</v>
      </c>
      <c r="W25" s="387" t="s">
        <v>46</v>
      </c>
      <c r="X25" s="391" t="s">
        <v>46</v>
      </c>
      <c r="Y25" s="392">
        <v>2</v>
      </c>
      <c r="Z25" s="387" t="s">
        <v>46</v>
      </c>
      <c r="AA25" s="387" t="s">
        <v>46</v>
      </c>
      <c r="AB25" s="387" t="s">
        <v>46</v>
      </c>
      <c r="AC25" s="387" t="s">
        <v>46</v>
      </c>
      <c r="AD25" s="387"/>
      <c r="AE25" s="387" t="s">
        <v>46</v>
      </c>
      <c r="AF25" s="387" t="s">
        <v>46</v>
      </c>
      <c r="AG25" s="387" t="s">
        <v>46</v>
      </c>
      <c r="AH25" s="390"/>
      <c r="AI25" s="387" t="s">
        <v>46</v>
      </c>
      <c r="AJ25" s="387" t="s">
        <v>46</v>
      </c>
      <c r="AK25" s="387"/>
      <c r="AL25" s="387"/>
      <c r="AM25" s="387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412"/>
      <c r="BR25" s="76">
        <f t="shared" si="3"/>
        <v>2.1666666666666665</v>
      </c>
      <c r="BS25" s="77">
        <f t="shared" si="4"/>
        <v>4</v>
      </c>
      <c r="BT25" s="77">
        <f t="shared" si="5"/>
        <v>18</v>
      </c>
    </row>
    <row r="26" spans="1:72" ht="16.5" hidden="1" customHeight="1">
      <c r="A26" s="139" t="s">
        <v>86</v>
      </c>
      <c r="B26" s="137" t="s">
        <v>88</v>
      </c>
      <c r="C26" s="397"/>
      <c r="D26" s="398"/>
      <c r="E26" s="398"/>
      <c r="F26" s="398"/>
      <c r="G26" s="399"/>
      <c r="H26" s="397"/>
      <c r="I26" s="398"/>
      <c r="J26" s="400"/>
      <c r="K26" s="397"/>
      <c r="L26" s="398"/>
      <c r="M26" s="398"/>
      <c r="N26" s="398"/>
      <c r="O26" s="398"/>
      <c r="P26" s="398"/>
      <c r="Q26" s="399"/>
      <c r="R26" s="386"/>
      <c r="S26" s="387"/>
      <c r="T26" s="390"/>
      <c r="U26" s="387"/>
      <c r="V26" s="398"/>
      <c r="W26" s="398"/>
      <c r="X26" s="402"/>
      <c r="Y26" s="403"/>
      <c r="Z26" s="398"/>
      <c r="AA26" s="398"/>
      <c r="AB26" s="398"/>
      <c r="AC26" s="398"/>
      <c r="AD26" s="398"/>
      <c r="AE26" s="398"/>
      <c r="AF26" s="398"/>
      <c r="AG26" s="398"/>
      <c r="AH26" s="401"/>
      <c r="AI26" s="398"/>
      <c r="AJ26" s="398"/>
      <c r="AK26" s="398"/>
      <c r="AL26" s="398"/>
      <c r="AM26" s="398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97"/>
      <c r="BR26" s="76" t="str">
        <f t="shared" si="3"/>
        <v>Нет оценок</v>
      </c>
      <c r="BS26" s="77">
        <f t="shared" si="4"/>
        <v>0</v>
      </c>
      <c r="BT26" s="77">
        <f t="shared" si="5"/>
        <v>0</v>
      </c>
    </row>
    <row r="27" spans="1:72" ht="16.5" customHeight="1">
      <c r="A27" s="139" t="s">
        <v>89</v>
      </c>
      <c r="B27" s="137" t="s">
        <v>90</v>
      </c>
      <c r="C27" s="434"/>
      <c r="D27" s="435"/>
      <c r="E27" s="435">
        <v>4</v>
      </c>
      <c r="F27" s="435"/>
      <c r="G27" s="436" t="s">
        <v>37</v>
      </c>
      <c r="H27" s="434"/>
      <c r="I27" s="435"/>
      <c r="J27" s="437">
        <v>2</v>
      </c>
      <c r="K27" s="434"/>
      <c r="L27" s="435"/>
      <c r="M27" s="435"/>
      <c r="N27" s="435" t="s">
        <v>46</v>
      </c>
      <c r="O27" s="435"/>
      <c r="P27" s="435">
        <v>3</v>
      </c>
      <c r="Q27" s="436"/>
      <c r="R27" s="434" t="s">
        <v>46</v>
      </c>
      <c r="S27" s="435"/>
      <c r="T27" s="438">
        <v>2</v>
      </c>
      <c r="U27" s="435" t="s">
        <v>46</v>
      </c>
      <c r="V27" s="435"/>
      <c r="W27" s="435">
        <v>3</v>
      </c>
      <c r="X27" s="439">
        <v>5</v>
      </c>
      <c r="Y27" s="440" t="s">
        <v>37</v>
      </c>
      <c r="Z27" s="435">
        <v>2</v>
      </c>
      <c r="AA27" s="435" t="s">
        <v>226</v>
      </c>
      <c r="AB27" s="435" t="s">
        <v>46</v>
      </c>
      <c r="AC27" s="435">
        <v>2</v>
      </c>
      <c r="AD27" s="435"/>
      <c r="AE27" s="435"/>
      <c r="AF27" s="435"/>
      <c r="AG27" s="435" t="s">
        <v>46</v>
      </c>
      <c r="AH27" s="438"/>
      <c r="AI27" s="435"/>
      <c r="AJ27" s="435">
        <v>2</v>
      </c>
      <c r="AK27" s="435"/>
      <c r="AL27" s="435"/>
      <c r="AM27" s="435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125"/>
      <c r="BR27" s="76">
        <f t="shared" si="3"/>
        <v>2.7777777777777777</v>
      </c>
      <c r="BS27" s="77">
        <f t="shared" si="4"/>
        <v>0</v>
      </c>
      <c r="BT27" s="77">
        <f t="shared" si="5"/>
        <v>5</v>
      </c>
    </row>
    <row r="28" spans="1:72" ht="18" customHeight="1">
      <c r="A28" s="139" t="s">
        <v>91</v>
      </c>
      <c r="B28" s="137" t="s">
        <v>92</v>
      </c>
      <c r="C28" s="417"/>
      <c r="D28" s="418" t="s">
        <v>46</v>
      </c>
      <c r="E28" s="418">
        <v>3</v>
      </c>
      <c r="F28" s="418"/>
      <c r="G28" s="419"/>
      <c r="H28" s="417"/>
      <c r="I28" s="441" t="s">
        <v>48</v>
      </c>
      <c r="J28" s="442" t="s">
        <v>48</v>
      </c>
      <c r="K28" s="417" t="s">
        <v>36</v>
      </c>
      <c r="L28" s="418"/>
      <c r="M28" s="418">
        <v>4</v>
      </c>
      <c r="N28" s="418"/>
      <c r="O28" s="418"/>
      <c r="P28" s="418">
        <v>3</v>
      </c>
      <c r="Q28" s="419">
        <v>4</v>
      </c>
      <c r="R28" s="417">
        <v>3</v>
      </c>
      <c r="S28" s="418"/>
      <c r="T28" s="421">
        <v>3</v>
      </c>
      <c r="U28" s="418"/>
      <c r="V28" s="418">
        <v>4</v>
      </c>
      <c r="W28" s="418" t="s">
        <v>46</v>
      </c>
      <c r="X28" s="422" t="s">
        <v>46</v>
      </c>
      <c r="Y28" s="403" t="s">
        <v>226</v>
      </c>
      <c r="Z28" s="398">
        <v>4</v>
      </c>
      <c r="AA28" s="398">
        <v>4</v>
      </c>
      <c r="AB28" s="398" t="s">
        <v>46</v>
      </c>
      <c r="AC28" s="398" t="s">
        <v>46</v>
      </c>
      <c r="AD28" s="398" t="s">
        <v>46</v>
      </c>
      <c r="AE28" s="398"/>
      <c r="AF28" s="398"/>
      <c r="AG28" s="398" t="s">
        <v>46</v>
      </c>
      <c r="AH28" s="401"/>
      <c r="AI28" s="398" t="s">
        <v>46</v>
      </c>
      <c r="AJ28" s="398" t="s">
        <v>46</v>
      </c>
      <c r="AK28" s="398"/>
      <c r="AL28" s="398"/>
      <c r="AM28" s="398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97"/>
      <c r="BR28" s="76">
        <f t="shared" si="3"/>
        <v>3.5555555555555554</v>
      </c>
      <c r="BS28" s="77">
        <f t="shared" si="4"/>
        <v>2</v>
      </c>
      <c r="BT28" s="77">
        <f t="shared" si="5"/>
        <v>9</v>
      </c>
    </row>
    <row r="29" spans="1:72" ht="15.75">
      <c r="A29" s="165" t="s">
        <v>93</v>
      </c>
      <c r="B29" s="165" t="s">
        <v>94</v>
      </c>
      <c r="BR29" s="127">
        <f>IFERROR(AVERAGE(BR5:BR28),"")</f>
        <v>3.2678109330283247</v>
      </c>
      <c r="BS29" s="128">
        <f>SUM(BS5:BS28)</f>
        <v>13</v>
      </c>
      <c r="BT29" s="128">
        <f>SUM(BT5:BT28)</f>
        <v>142</v>
      </c>
    </row>
    <row r="30" spans="1:72" ht="15.75">
      <c r="A30" s="443" t="s">
        <v>229</v>
      </c>
      <c r="B30" s="443" t="s">
        <v>230</v>
      </c>
    </row>
    <row r="31" spans="1:72" ht="15.75">
      <c r="A31" s="443" t="s">
        <v>231</v>
      </c>
      <c r="B31" s="443" t="s">
        <v>232</v>
      </c>
      <c r="O31" s="444"/>
      <c r="P31" s="445"/>
    </row>
    <row r="32" spans="1:72" ht="15.75">
      <c r="A32" s="443" t="s">
        <v>231</v>
      </c>
      <c r="B32" s="443" t="s">
        <v>233</v>
      </c>
      <c r="O32" t="s">
        <v>234</v>
      </c>
      <c r="P32" t="s">
        <v>235</v>
      </c>
    </row>
    <row r="33" spans="1:2" ht="15.75">
      <c r="A33" s="443" t="s">
        <v>236</v>
      </c>
      <c r="B33" s="443" t="s">
        <v>237</v>
      </c>
    </row>
    <row r="34" spans="1:2" ht="15.75">
      <c r="A34" s="443" t="s">
        <v>238</v>
      </c>
      <c r="B34" s="443" t="s">
        <v>239</v>
      </c>
    </row>
    <row r="35" spans="1:2" ht="15.75">
      <c r="A35" s="443" t="s">
        <v>240</v>
      </c>
      <c r="B35" s="443" t="s">
        <v>241</v>
      </c>
    </row>
    <row r="36" spans="1:2" ht="15.75">
      <c r="A36" s="443" t="s">
        <v>242</v>
      </c>
      <c r="B36" s="443" t="s">
        <v>243</v>
      </c>
    </row>
    <row r="37" spans="1:2" ht="15.75">
      <c r="A37" s="443" t="s">
        <v>244</v>
      </c>
      <c r="B37" s="446" t="s">
        <v>245</v>
      </c>
    </row>
    <row r="38" spans="1:2" ht="15.75">
      <c r="A38" s="443" t="s">
        <v>246</v>
      </c>
      <c r="B38" s="443" t="s">
        <v>247</v>
      </c>
    </row>
    <row r="39" spans="1:2" ht="15.75">
      <c r="A39" s="443" t="s">
        <v>246</v>
      </c>
      <c r="B39" s="443" t="s">
        <v>248</v>
      </c>
    </row>
    <row r="40" spans="1:2" ht="15.75">
      <c r="A40" s="443" t="s">
        <v>249</v>
      </c>
      <c r="B40" s="443" t="s">
        <v>250</v>
      </c>
    </row>
    <row r="41" spans="1:2" ht="15.75">
      <c r="A41" s="443" t="s">
        <v>251</v>
      </c>
      <c r="B41" s="443" t="s">
        <v>248</v>
      </c>
    </row>
    <row r="42" spans="1:2" ht="15.75">
      <c r="A42" s="443" t="s">
        <v>251</v>
      </c>
      <c r="B42" s="443" t="s">
        <v>252</v>
      </c>
    </row>
    <row r="43" spans="1:2" ht="15.75">
      <c r="A43" s="443" t="s">
        <v>253</v>
      </c>
      <c r="B43" s="443" t="s">
        <v>254</v>
      </c>
    </row>
    <row r="44" spans="1:2" ht="15.75">
      <c r="A44" s="443" t="s">
        <v>255</v>
      </c>
      <c r="B44" s="443" t="s">
        <v>256</v>
      </c>
    </row>
    <row r="45" spans="1:2" ht="15.75">
      <c r="A45" s="443" t="s">
        <v>257</v>
      </c>
      <c r="B45" s="443" t="s">
        <v>258</v>
      </c>
    </row>
    <row r="46" spans="1:2" ht="15.75">
      <c r="A46" s="443" t="s">
        <v>257</v>
      </c>
      <c r="B46" s="446" t="s">
        <v>259</v>
      </c>
    </row>
    <row r="47" spans="1:2" ht="15.75">
      <c r="A47" s="443" t="s">
        <v>260</v>
      </c>
      <c r="B47" s="443" t="s">
        <v>261</v>
      </c>
    </row>
    <row r="48" spans="1:2" ht="15.75">
      <c r="A48" s="443" t="s">
        <v>117</v>
      </c>
      <c r="B48" s="443" t="s">
        <v>248</v>
      </c>
    </row>
    <row r="49" spans="1:2" ht="15.75">
      <c r="A49" s="443" t="s">
        <v>121</v>
      </c>
      <c r="B49" s="443" t="s">
        <v>248</v>
      </c>
    </row>
    <row r="50" spans="1:2" ht="15.75">
      <c r="A50" s="443" t="s">
        <v>262</v>
      </c>
      <c r="B50" s="443" t="s">
        <v>263</v>
      </c>
    </row>
    <row r="51" spans="1:2" ht="15.75">
      <c r="A51" s="443" t="s">
        <v>264</v>
      </c>
      <c r="B51" s="447" t="s">
        <v>265</v>
      </c>
    </row>
    <row r="52" spans="1:2" ht="15.75">
      <c r="A52" s="443" t="s">
        <v>266</v>
      </c>
      <c r="B52" s="447" t="s">
        <v>267</v>
      </c>
    </row>
    <row r="53" spans="1:2" ht="15.75">
      <c r="A53" s="443" t="s">
        <v>268</v>
      </c>
      <c r="B53" s="447" t="s">
        <v>269</v>
      </c>
    </row>
    <row r="54" spans="1:2" ht="15.75">
      <c r="A54" s="443" t="s">
        <v>270</v>
      </c>
      <c r="B54" s="447" t="s">
        <v>271</v>
      </c>
    </row>
    <row r="55" spans="1:2" ht="15.75">
      <c r="A55" s="443" t="s">
        <v>272</v>
      </c>
      <c r="B55" s="443" t="s">
        <v>273</v>
      </c>
    </row>
    <row r="56" spans="1:2" ht="15.75">
      <c r="A56" s="443" t="s">
        <v>274</v>
      </c>
      <c r="B56" s="443" t="s">
        <v>275</v>
      </c>
    </row>
    <row r="57" spans="1:2" ht="15.75">
      <c r="A57" s="443" t="s">
        <v>276</v>
      </c>
      <c r="B57" s="443" t="s">
        <v>277</v>
      </c>
    </row>
    <row r="58" spans="1:2" ht="15.75">
      <c r="A58" s="443" t="s">
        <v>131</v>
      </c>
      <c r="B58" s="443" t="s">
        <v>278</v>
      </c>
    </row>
    <row r="59" spans="1:2" ht="15.75">
      <c r="A59" s="443" t="s">
        <v>279</v>
      </c>
      <c r="B59" s="443" t="s">
        <v>278</v>
      </c>
    </row>
    <row r="60" spans="1:2" ht="15.75">
      <c r="A60" s="443" t="s">
        <v>280</v>
      </c>
      <c r="B60" s="446" t="s">
        <v>281</v>
      </c>
    </row>
    <row r="61" spans="1:2" ht="15.75">
      <c r="A61" s="443" t="s">
        <v>133</v>
      </c>
      <c r="B61" s="443" t="s">
        <v>282</v>
      </c>
    </row>
    <row r="62" spans="1:2" ht="15.75">
      <c r="A62" s="443"/>
      <c r="B62" s="443"/>
    </row>
    <row r="63" spans="1:2" ht="15.75">
      <c r="A63" s="166"/>
      <c r="B63" s="443"/>
    </row>
    <row r="64" spans="1:2">
      <c r="A64" s="166"/>
      <c r="B64" s="166"/>
    </row>
    <row r="65" spans="1:2">
      <c r="A65" s="166"/>
      <c r="B65" s="166"/>
    </row>
    <row r="66" spans="1:2">
      <c r="A66" s="166"/>
      <c r="B66" s="166"/>
    </row>
  </sheetData>
  <mergeCells count="12">
    <mergeCell ref="BS3:BT3"/>
    <mergeCell ref="A1:B1"/>
    <mergeCell ref="C1:BP1"/>
    <mergeCell ref="A2:B2"/>
    <mergeCell ref="C2:BP2"/>
    <mergeCell ref="A3:A4"/>
    <mergeCell ref="C3:G3"/>
    <mergeCell ref="H3:J3"/>
    <mergeCell ref="K3:Q3"/>
    <mergeCell ref="R3:X3"/>
    <mergeCell ref="Y3:AF3"/>
    <mergeCell ref="AG3:AI3"/>
  </mergeCells>
  <conditionalFormatting sqref="BT5:BT28">
    <cfRule type="cellIs" dxfId="66" priority="2" operator="greaterThan">
      <formula>0</formula>
    </cfRule>
  </conditionalFormatting>
  <conditionalFormatting sqref="BR5:BR29">
    <cfRule type="cellIs" dxfId="65" priority="1" operator="lessThan">
      <formula>3</formula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7"/>
  </sheetPr>
  <dimension ref="A1:AS65"/>
  <sheetViews>
    <sheetView zoomScale="85"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customWidth="1"/>
    <col min="2" max="2" width="34.44140625" customWidth="1"/>
    <col min="3" max="5" width="2.77734375" customWidth="1"/>
    <col min="6" max="6" width="8.109375" customWidth="1"/>
    <col min="7" max="7" width="8.21875" customWidth="1"/>
    <col min="8" max="8" width="8.6640625" customWidth="1"/>
    <col min="9" max="9" width="9.109375" customWidth="1"/>
    <col min="10" max="10" width="5" customWidth="1"/>
    <col min="11" max="11" width="5.21875" customWidth="1"/>
    <col min="12" max="12" width="6.109375" customWidth="1"/>
    <col min="13" max="13" width="8" customWidth="1"/>
    <col min="14" max="14" width="6.77734375" customWidth="1"/>
    <col min="15" max="15" width="6.109375" customWidth="1"/>
    <col min="16" max="16" width="8.77734375" customWidth="1"/>
    <col min="17" max="17" width="4" customWidth="1"/>
    <col min="18" max="18" width="3.77734375" customWidth="1"/>
    <col min="19" max="19" width="3.6640625" customWidth="1"/>
    <col min="20" max="20" width="9.109375" customWidth="1"/>
    <col min="21" max="21" width="4.77734375" customWidth="1"/>
    <col min="22" max="22" width="4.44140625" customWidth="1"/>
    <col min="23" max="23" width="4.5546875" customWidth="1"/>
    <col min="24" max="24" width="4.21875" customWidth="1"/>
    <col min="25" max="41" width="2.77734375" customWidth="1"/>
    <col min="42" max="42" width="6.33203125" customWidth="1"/>
    <col min="43" max="43" width="10.6640625" customWidth="1"/>
    <col min="44" max="45" width="8.109375" customWidth="1"/>
  </cols>
  <sheetData>
    <row r="1" spans="1:45" ht="27.75">
      <c r="A1" s="1277" t="s">
        <v>38</v>
      </c>
      <c r="B1" s="1277"/>
      <c r="C1" s="1310" t="s">
        <v>12</v>
      </c>
      <c r="D1" s="1310"/>
      <c r="E1" s="1310"/>
      <c r="F1" s="1310"/>
      <c r="G1" s="1310"/>
      <c r="H1" s="1310"/>
      <c r="I1" s="1310"/>
      <c r="J1" s="1310"/>
      <c r="K1" s="1310"/>
      <c r="L1" s="1310"/>
      <c r="M1" s="1310"/>
      <c r="N1" s="1310"/>
      <c r="O1" s="1310"/>
      <c r="P1" s="1310"/>
      <c r="Q1" s="1310"/>
      <c r="R1" s="1310"/>
      <c r="S1" s="1310"/>
      <c r="T1" s="1310"/>
      <c r="U1" s="1310"/>
      <c r="V1" s="1310"/>
      <c r="W1" s="1310"/>
      <c r="X1" s="1310"/>
      <c r="Y1" s="1310"/>
      <c r="Z1" s="1310"/>
      <c r="AA1" s="1310"/>
      <c r="AB1" s="1310"/>
      <c r="AC1" s="1310"/>
      <c r="AD1" s="1310"/>
      <c r="AE1" s="1310"/>
      <c r="AF1" s="1310"/>
      <c r="AG1" s="1310"/>
      <c r="AH1" s="1310"/>
      <c r="AI1" s="1310"/>
      <c r="AJ1" s="1310"/>
      <c r="AK1" s="1310"/>
      <c r="AL1" s="1310"/>
      <c r="AM1" s="1310"/>
      <c r="AN1" s="1310"/>
      <c r="AO1" s="1310"/>
      <c r="AP1" s="29"/>
    </row>
    <row r="2" spans="1:45" ht="27.75">
      <c r="A2" s="1277" t="s">
        <v>39</v>
      </c>
      <c r="B2" s="1277"/>
      <c r="C2" s="1311" t="s">
        <v>283</v>
      </c>
      <c r="D2" s="1312"/>
      <c r="E2" s="1312"/>
      <c r="F2" s="1312"/>
      <c r="G2" s="1312"/>
      <c r="H2" s="1312"/>
      <c r="I2" s="1312"/>
      <c r="J2" s="1312"/>
      <c r="K2" s="1312"/>
      <c r="L2" s="1312"/>
      <c r="M2" s="1312"/>
      <c r="N2" s="1312"/>
      <c r="O2" s="1312"/>
      <c r="P2" s="1312"/>
      <c r="Q2" s="1312"/>
      <c r="R2" s="1312"/>
      <c r="S2" s="1312"/>
      <c r="T2" s="1312"/>
      <c r="U2" s="1312"/>
      <c r="V2" s="1312"/>
      <c r="W2" s="1312"/>
      <c r="X2" s="1312"/>
      <c r="Y2" s="1312"/>
      <c r="Z2" s="1312"/>
      <c r="AA2" s="1312"/>
      <c r="AB2" s="1312"/>
      <c r="AC2" s="1312"/>
      <c r="AD2" s="1312"/>
      <c r="AE2" s="1312"/>
      <c r="AF2" s="1312"/>
      <c r="AG2" s="1312"/>
      <c r="AH2" s="1312"/>
      <c r="AI2" s="1312"/>
      <c r="AJ2" s="1312"/>
      <c r="AK2" s="1312"/>
      <c r="AL2" s="1312"/>
      <c r="AM2" s="1312"/>
      <c r="AN2" s="1312"/>
      <c r="AO2" s="1312"/>
      <c r="AP2" s="31"/>
      <c r="AQ2" s="32"/>
      <c r="AR2" s="32"/>
      <c r="AS2" s="32"/>
    </row>
    <row r="3" spans="1:45" ht="15.75">
      <c r="A3" s="1281" t="s">
        <v>41</v>
      </c>
      <c r="B3" s="129" t="s">
        <v>93</v>
      </c>
      <c r="C3" s="1313" t="s">
        <v>284</v>
      </c>
      <c r="D3" s="1314"/>
      <c r="E3" s="1315"/>
      <c r="F3" s="450">
        <v>45920</v>
      </c>
      <c r="G3" s="1316">
        <v>45927</v>
      </c>
      <c r="H3" s="1314"/>
      <c r="I3" s="1315"/>
      <c r="J3" s="1317">
        <v>45934</v>
      </c>
      <c r="K3" s="1312"/>
      <c r="L3" s="1312"/>
      <c r="M3" s="1318" t="s">
        <v>285</v>
      </c>
      <c r="N3" s="1314"/>
      <c r="O3" s="1315"/>
      <c r="P3" s="451">
        <v>45958</v>
      </c>
      <c r="Q3" s="1319">
        <v>45960</v>
      </c>
      <c r="R3" s="1312"/>
      <c r="S3" s="1312"/>
      <c r="T3" s="452">
        <v>45976</v>
      </c>
      <c r="U3" s="1316">
        <v>45983</v>
      </c>
      <c r="V3" s="1315"/>
      <c r="W3" s="1316">
        <v>46018</v>
      </c>
      <c r="X3" s="1315"/>
      <c r="Y3" s="43"/>
      <c r="Z3" s="43"/>
      <c r="AA3" s="43"/>
      <c r="AB3" s="43"/>
      <c r="AC3" s="43"/>
      <c r="AD3" s="43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44" t="s">
        <v>31</v>
      </c>
      <c r="AQ3" s="45"/>
      <c r="AR3" s="1278" t="s">
        <v>0</v>
      </c>
      <c r="AS3" s="1279"/>
    </row>
    <row r="4" spans="1:45" ht="15.75">
      <c r="A4" s="1282"/>
      <c r="B4" s="132" t="s">
        <v>286</v>
      </c>
      <c r="C4" s="1320" t="s">
        <v>287</v>
      </c>
      <c r="D4" s="1321"/>
      <c r="E4" s="1322"/>
      <c r="F4" s="453" t="s">
        <v>288</v>
      </c>
      <c r="G4" s="454" t="s">
        <v>289</v>
      </c>
      <c r="H4" s="455" t="s">
        <v>290</v>
      </c>
      <c r="I4" s="455" t="s">
        <v>291</v>
      </c>
      <c r="J4" s="456" t="s">
        <v>292</v>
      </c>
      <c r="K4" s="456" t="s">
        <v>293</v>
      </c>
      <c r="L4" s="456" t="s">
        <v>294</v>
      </c>
      <c r="M4" s="456" t="s">
        <v>295</v>
      </c>
      <c r="N4" s="456" t="s">
        <v>296</v>
      </c>
      <c r="O4" s="456" t="s">
        <v>297</v>
      </c>
      <c r="P4" s="453" t="s">
        <v>298</v>
      </c>
      <c r="Q4" s="1323" t="s">
        <v>299</v>
      </c>
      <c r="R4" s="1312"/>
      <c r="S4" s="1312"/>
      <c r="T4" s="453" t="s">
        <v>300</v>
      </c>
      <c r="U4" s="1324" t="s">
        <v>300</v>
      </c>
      <c r="V4" s="1322"/>
      <c r="W4" s="1324" t="s">
        <v>301</v>
      </c>
      <c r="X4" s="1322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9" t="s">
        <v>32</v>
      </c>
      <c r="AQ4" s="45" t="s">
        <v>33</v>
      </c>
      <c r="AR4" s="60" t="s">
        <v>5</v>
      </c>
      <c r="AS4" s="60" t="s">
        <v>6</v>
      </c>
    </row>
    <row r="5" spans="1:45" ht="15.75" customHeight="1">
      <c r="A5" s="457" t="s">
        <v>44</v>
      </c>
      <c r="B5" s="458" t="s">
        <v>45</v>
      </c>
      <c r="C5" s="371"/>
      <c r="D5" s="371"/>
      <c r="E5" s="459">
        <v>5</v>
      </c>
      <c r="F5" s="371"/>
      <c r="G5" s="371"/>
      <c r="H5" s="371"/>
      <c r="I5" s="371"/>
      <c r="J5" s="371"/>
      <c r="K5" s="371"/>
      <c r="L5" s="371"/>
      <c r="M5" s="346" t="s">
        <v>46</v>
      </c>
      <c r="N5" s="346" t="s">
        <v>46</v>
      </c>
      <c r="O5" s="346" t="s">
        <v>46</v>
      </c>
      <c r="P5" s="371"/>
      <c r="Q5" s="346" t="s">
        <v>46</v>
      </c>
      <c r="R5" s="346" t="s">
        <v>46</v>
      </c>
      <c r="S5" s="346" t="s">
        <v>46</v>
      </c>
      <c r="T5" s="346" t="s">
        <v>46</v>
      </c>
      <c r="U5" s="346" t="s">
        <v>46</v>
      </c>
      <c r="V5" s="346" t="s">
        <v>46</v>
      </c>
      <c r="W5" s="460" t="s">
        <v>46</v>
      </c>
      <c r="X5" s="460" t="s">
        <v>46</v>
      </c>
      <c r="Y5" s="70"/>
      <c r="Z5" s="70"/>
      <c r="AA5" s="70"/>
      <c r="AB5" s="70"/>
      <c r="AC5" s="70"/>
      <c r="AD5" s="70"/>
      <c r="AE5" s="70"/>
      <c r="AF5" s="70"/>
      <c r="AG5" s="322"/>
      <c r="AH5" s="70"/>
      <c r="AI5" s="322"/>
      <c r="AJ5" s="322"/>
      <c r="AK5" s="322"/>
      <c r="AL5" s="322"/>
      <c r="AM5" s="322"/>
      <c r="AN5" s="322"/>
      <c r="AO5" s="322"/>
      <c r="AP5" s="75"/>
      <c r="AQ5" s="76">
        <f t="shared" ref="AQ5:AQ9" si="0">IFERROR(AVERAGE(C5:AP5),"Нет оценок")</f>
        <v>5</v>
      </c>
      <c r="AR5" s="77">
        <f t="shared" ref="AR5:AR9" si="1">COUNTIF(C5:AP5,"н/у")</f>
        <v>0</v>
      </c>
      <c r="AS5" s="77">
        <f t="shared" ref="AS5:AS9" si="2">COUNTIF(C5:AP5,"н")</f>
        <v>11</v>
      </c>
    </row>
    <row r="6" spans="1:45" ht="15.75" customHeight="1">
      <c r="A6" s="461" t="s">
        <v>49</v>
      </c>
      <c r="B6" s="462" t="s">
        <v>50</v>
      </c>
      <c r="C6" s="371"/>
      <c r="D6" s="371"/>
      <c r="E6" s="459">
        <v>5</v>
      </c>
      <c r="F6" s="463">
        <v>5</v>
      </c>
      <c r="G6" s="459">
        <v>3</v>
      </c>
      <c r="H6" s="459">
        <v>4</v>
      </c>
      <c r="I6" s="459">
        <v>5</v>
      </c>
      <c r="J6" s="459">
        <v>5</v>
      </c>
      <c r="K6" s="459">
        <v>4</v>
      </c>
      <c r="L6" s="459">
        <v>3</v>
      </c>
      <c r="M6" s="463">
        <v>4</v>
      </c>
      <c r="N6" s="463">
        <v>4</v>
      </c>
      <c r="O6" s="463">
        <v>5</v>
      </c>
      <c r="P6" s="459">
        <v>5</v>
      </c>
      <c r="Q6" s="371"/>
      <c r="R6" s="459">
        <v>4</v>
      </c>
      <c r="S6" s="459">
        <v>4</v>
      </c>
      <c r="T6" s="371"/>
      <c r="U6" s="371"/>
      <c r="V6" s="371"/>
      <c r="W6" s="371"/>
      <c r="X6" s="459">
        <v>4</v>
      </c>
      <c r="Y6" s="82"/>
      <c r="Z6" s="82"/>
      <c r="AA6" s="82"/>
      <c r="AB6" s="82"/>
      <c r="AC6" s="82"/>
      <c r="AD6" s="82"/>
      <c r="AE6" s="82"/>
      <c r="AF6" s="82"/>
      <c r="AG6" s="464"/>
      <c r="AH6" s="82"/>
      <c r="AI6" s="464"/>
      <c r="AJ6" s="464"/>
      <c r="AK6" s="464"/>
      <c r="AL6" s="464"/>
      <c r="AM6" s="464"/>
      <c r="AN6" s="464"/>
      <c r="AO6" s="464"/>
      <c r="AP6" s="86"/>
      <c r="AQ6" s="76">
        <f t="shared" si="0"/>
        <v>4.2666666666666666</v>
      </c>
      <c r="AR6" s="77">
        <f t="shared" si="1"/>
        <v>0</v>
      </c>
      <c r="AS6" s="77">
        <f t="shared" si="2"/>
        <v>0</v>
      </c>
    </row>
    <row r="7" spans="1:45" ht="15.75" customHeight="1">
      <c r="A7" s="457" t="s">
        <v>51</v>
      </c>
      <c r="B7" s="458" t="s">
        <v>52</v>
      </c>
      <c r="C7" s="371"/>
      <c r="D7" s="371"/>
      <c r="E7" s="459">
        <v>5</v>
      </c>
      <c r="F7" s="459">
        <v>5</v>
      </c>
      <c r="G7" s="459">
        <v>5</v>
      </c>
      <c r="H7" s="459">
        <v>4</v>
      </c>
      <c r="I7" s="459">
        <v>5</v>
      </c>
      <c r="J7" s="459">
        <v>5</v>
      </c>
      <c r="K7" s="459">
        <v>5</v>
      </c>
      <c r="L7" s="459">
        <v>4</v>
      </c>
      <c r="M7" s="459">
        <v>4</v>
      </c>
      <c r="N7" s="459">
        <v>4</v>
      </c>
      <c r="O7" s="459">
        <v>4</v>
      </c>
      <c r="P7" s="459">
        <v>5</v>
      </c>
      <c r="Q7" s="371"/>
      <c r="R7" s="459">
        <v>4</v>
      </c>
      <c r="S7" s="459">
        <v>4</v>
      </c>
      <c r="T7" s="371"/>
      <c r="U7" s="371"/>
      <c r="V7" s="371"/>
      <c r="W7" s="371"/>
      <c r="X7" s="459">
        <v>4</v>
      </c>
      <c r="Y7" s="70"/>
      <c r="Z7" s="70"/>
      <c r="AA7" s="70"/>
      <c r="AB7" s="70"/>
      <c r="AC7" s="70"/>
      <c r="AD7" s="70"/>
      <c r="AE7" s="70"/>
      <c r="AF7" s="70"/>
      <c r="AG7" s="322"/>
      <c r="AH7" s="70"/>
      <c r="AI7" s="322"/>
      <c r="AJ7" s="322"/>
      <c r="AK7" s="322"/>
      <c r="AL7" s="322"/>
      <c r="AM7" s="322"/>
      <c r="AN7" s="322"/>
      <c r="AO7" s="322"/>
      <c r="AP7" s="75"/>
      <c r="AQ7" s="76">
        <f t="shared" si="0"/>
        <v>4.4666666666666668</v>
      </c>
      <c r="AR7" s="77">
        <f t="shared" si="1"/>
        <v>0</v>
      </c>
      <c r="AS7" s="77">
        <f t="shared" si="2"/>
        <v>0</v>
      </c>
    </row>
    <row r="8" spans="1:45" ht="15.75" customHeight="1">
      <c r="A8" s="457" t="s">
        <v>53</v>
      </c>
      <c r="B8" s="458" t="s">
        <v>54</v>
      </c>
      <c r="C8" s="371"/>
      <c r="D8" s="371"/>
      <c r="E8" s="459">
        <v>5</v>
      </c>
      <c r="F8" s="463">
        <v>4</v>
      </c>
      <c r="G8" s="459">
        <v>4</v>
      </c>
      <c r="H8" s="459">
        <v>4</v>
      </c>
      <c r="I8" s="459">
        <v>5</v>
      </c>
      <c r="J8" s="459">
        <v>4</v>
      </c>
      <c r="K8" s="459">
        <v>5</v>
      </c>
      <c r="L8" s="459">
        <v>5</v>
      </c>
      <c r="M8" s="459">
        <v>5</v>
      </c>
      <c r="N8" s="459">
        <v>5</v>
      </c>
      <c r="O8" s="459">
        <v>5</v>
      </c>
      <c r="P8" s="459">
        <v>5</v>
      </c>
      <c r="Q8" s="371"/>
      <c r="R8" s="459">
        <v>4</v>
      </c>
      <c r="S8" s="459">
        <v>4</v>
      </c>
      <c r="T8" s="371"/>
      <c r="U8" s="371"/>
      <c r="V8" s="371"/>
      <c r="W8" s="371"/>
      <c r="X8" s="459">
        <v>5</v>
      </c>
      <c r="Y8" s="70"/>
      <c r="Z8" s="70"/>
      <c r="AA8" s="70"/>
      <c r="AB8" s="70"/>
      <c r="AC8" s="70"/>
      <c r="AD8" s="70"/>
      <c r="AE8" s="70"/>
      <c r="AF8" s="70"/>
      <c r="AG8" s="322"/>
      <c r="AH8" s="70"/>
      <c r="AI8" s="322"/>
      <c r="AJ8" s="322"/>
      <c r="AK8" s="322"/>
      <c r="AL8" s="322"/>
      <c r="AM8" s="322"/>
      <c r="AN8" s="322"/>
      <c r="AO8" s="322"/>
      <c r="AP8" s="75"/>
      <c r="AQ8" s="76">
        <f t="shared" si="0"/>
        <v>4.5999999999999996</v>
      </c>
      <c r="AR8" s="77">
        <f t="shared" si="1"/>
        <v>0</v>
      </c>
      <c r="AS8" s="77">
        <f t="shared" si="2"/>
        <v>0</v>
      </c>
    </row>
    <row r="9" spans="1:45" ht="15.75" customHeight="1">
      <c r="A9" s="461" t="s">
        <v>55</v>
      </c>
      <c r="B9" s="465" t="s">
        <v>56</v>
      </c>
      <c r="C9" s="371"/>
      <c r="D9" s="371"/>
      <c r="E9" s="459">
        <v>5</v>
      </c>
      <c r="F9" s="463">
        <v>3</v>
      </c>
      <c r="G9" s="459">
        <v>3</v>
      </c>
      <c r="H9" s="459">
        <v>3</v>
      </c>
      <c r="I9" s="459">
        <v>3</v>
      </c>
      <c r="J9" s="459">
        <v>3</v>
      </c>
      <c r="K9" s="459">
        <v>3</v>
      </c>
      <c r="L9" s="459">
        <v>3</v>
      </c>
      <c r="M9" s="459">
        <v>3</v>
      </c>
      <c r="N9" s="459">
        <v>3</v>
      </c>
      <c r="O9" s="459">
        <v>3</v>
      </c>
      <c r="P9" s="463">
        <v>3</v>
      </c>
      <c r="Q9" s="371"/>
      <c r="R9" s="459">
        <v>3</v>
      </c>
      <c r="S9" s="459">
        <v>3</v>
      </c>
      <c r="T9" s="371"/>
      <c r="U9" s="138"/>
      <c r="V9" s="138"/>
      <c r="W9" s="371"/>
      <c r="X9" s="459">
        <v>3</v>
      </c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94"/>
      <c r="AQ9" s="76">
        <f t="shared" si="0"/>
        <v>3.1333333333333333</v>
      </c>
      <c r="AR9" s="77">
        <f t="shared" si="1"/>
        <v>0</v>
      </c>
      <c r="AS9" s="77">
        <f t="shared" si="2"/>
        <v>0</v>
      </c>
    </row>
    <row r="10" spans="1:45" ht="15.75" customHeight="1">
      <c r="A10" s="457" t="s">
        <v>57</v>
      </c>
      <c r="B10" s="458" t="s">
        <v>58</v>
      </c>
      <c r="C10" s="371"/>
      <c r="D10" s="371"/>
      <c r="E10" s="459">
        <v>5</v>
      </c>
      <c r="F10" s="459">
        <v>5</v>
      </c>
      <c r="G10" s="459">
        <v>5</v>
      </c>
      <c r="H10" s="459">
        <v>5</v>
      </c>
      <c r="I10" s="459">
        <v>5</v>
      </c>
      <c r="J10" s="459">
        <v>5</v>
      </c>
      <c r="K10" s="459">
        <v>5</v>
      </c>
      <c r="L10" s="459">
        <v>5</v>
      </c>
      <c r="M10" s="459">
        <v>5</v>
      </c>
      <c r="N10" s="459">
        <v>5</v>
      </c>
      <c r="O10" s="459">
        <v>5</v>
      </c>
      <c r="P10" s="459">
        <v>5</v>
      </c>
      <c r="Q10" s="459"/>
      <c r="R10" s="459">
        <v>5</v>
      </c>
      <c r="S10" s="459">
        <v>5</v>
      </c>
      <c r="T10" s="371"/>
      <c r="U10" s="371"/>
      <c r="V10" s="371"/>
      <c r="W10" s="371"/>
      <c r="X10" s="459">
        <v>5</v>
      </c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97"/>
      <c r="AQ10" s="76">
        <f t="shared" ref="AQ10:AQ27" si="3">IFERROR(AVERAGE(C10:AP10),"Нет оценок")</f>
        <v>5</v>
      </c>
      <c r="AR10" s="77">
        <f t="shared" ref="AR10:AR27" si="4">COUNTIF(C10:AP10,"н/у")</f>
        <v>0</v>
      </c>
      <c r="AS10" s="77">
        <f t="shared" ref="AS10:AS27" si="5">COUNTIF(C10:AP10,"н")</f>
        <v>0</v>
      </c>
    </row>
    <row r="11" spans="1:45" ht="15.75" customHeight="1">
      <c r="A11" s="457" t="s">
        <v>59</v>
      </c>
      <c r="B11" s="458" t="s">
        <v>60</v>
      </c>
      <c r="C11" s="138"/>
      <c r="D11" s="138"/>
      <c r="E11" s="463">
        <v>5</v>
      </c>
      <c r="F11" s="459">
        <v>3</v>
      </c>
      <c r="G11" s="466" t="s">
        <v>48</v>
      </c>
      <c r="H11" s="466" t="s">
        <v>48</v>
      </c>
      <c r="I11" s="466" t="s">
        <v>48</v>
      </c>
      <c r="J11" s="466" t="s">
        <v>48</v>
      </c>
      <c r="K11" s="466" t="s">
        <v>48</v>
      </c>
      <c r="L11" s="466" t="s">
        <v>48</v>
      </c>
      <c r="M11" s="459">
        <v>3</v>
      </c>
      <c r="N11" s="459">
        <v>3</v>
      </c>
      <c r="O11" s="459">
        <v>3</v>
      </c>
      <c r="P11" s="459">
        <v>3</v>
      </c>
      <c r="Q11" s="371"/>
      <c r="R11" s="459">
        <v>3</v>
      </c>
      <c r="S11" s="459">
        <v>3</v>
      </c>
      <c r="T11" s="467" t="s">
        <v>48</v>
      </c>
      <c r="U11" s="467" t="s">
        <v>48</v>
      </c>
      <c r="V11" s="467" t="s">
        <v>48</v>
      </c>
      <c r="W11" s="371"/>
      <c r="X11" s="459">
        <v>3</v>
      </c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97"/>
      <c r="AQ11" s="76">
        <f t="shared" si="3"/>
        <v>3.2222222222222223</v>
      </c>
      <c r="AR11" s="77">
        <f t="shared" si="4"/>
        <v>9</v>
      </c>
      <c r="AS11" s="77">
        <f t="shared" si="5"/>
        <v>0</v>
      </c>
    </row>
    <row r="12" spans="1:45" ht="15.75" customHeight="1">
      <c r="A12" s="468" t="s">
        <v>61</v>
      </c>
      <c r="B12" s="469" t="s">
        <v>62</v>
      </c>
      <c r="C12" s="138"/>
      <c r="D12" s="138"/>
      <c r="E12" s="463">
        <v>5</v>
      </c>
      <c r="F12" s="463">
        <v>5</v>
      </c>
      <c r="G12" s="459">
        <v>5</v>
      </c>
      <c r="H12" s="459">
        <v>5</v>
      </c>
      <c r="I12" s="459">
        <v>5</v>
      </c>
      <c r="J12" s="459">
        <v>4</v>
      </c>
      <c r="K12" s="459">
        <v>4</v>
      </c>
      <c r="L12" s="459">
        <v>5</v>
      </c>
      <c r="M12" s="459">
        <v>5</v>
      </c>
      <c r="N12" s="459">
        <v>5</v>
      </c>
      <c r="O12" s="459">
        <v>5</v>
      </c>
      <c r="P12" s="459">
        <v>5</v>
      </c>
      <c r="Q12" s="371"/>
      <c r="R12" s="459">
        <v>4</v>
      </c>
      <c r="S12" s="459">
        <v>4</v>
      </c>
      <c r="T12" s="371"/>
      <c r="U12" s="371"/>
      <c r="V12" s="371"/>
      <c r="W12" s="371"/>
      <c r="X12" s="459">
        <v>5</v>
      </c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7"/>
      <c r="AQ12" s="76">
        <f t="shared" si="3"/>
        <v>4.7333333333333334</v>
      </c>
      <c r="AR12" s="77">
        <f t="shared" si="4"/>
        <v>0</v>
      </c>
      <c r="AS12" s="77">
        <f t="shared" si="5"/>
        <v>0</v>
      </c>
    </row>
    <row r="13" spans="1:45" ht="15.75" customHeight="1">
      <c r="A13" s="461" t="s">
        <v>63</v>
      </c>
      <c r="B13" s="465" t="s">
        <v>64</v>
      </c>
      <c r="C13" s="371"/>
      <c r="D13" s="371"/>
      <c r="E13" s="459">
        <v>5</v>
      </c>
      <c r="F13" s="459">
        <v>3</v>
      </c>
      <c r="G13" s="459">
        <v>3</v>
      </c>
      <c r="H13" s="463">
        <v>3</v>
      </c>
      <c r="I13" s="463">
        <v>3</v>
      </c>
      <c r="J13" s="463">
        <v>3</v>
      </c>
      <c r="K13" s="463">
        <v>3</v>
      </c>
      <c r="L13" s="463">
        <v>3</v>
      </c>
      <c r="M13" s="463">
        <v>3</v>
      </c>
      <c r="N13" s="459">
        <v>3</v>
      </c>
      <c r="O13" s="459">
        <v>3</v>
      </c>
      <c r="P13" s="463">
        <v>3</v>
      </c>
      <c r="Q13" s="371"/>
      <c r="R13" s="459">
        <v>3</v>
      </c>
      <c r="S13" s="459">
        <v>3</v>
      </c>
      <c r="T13" s="371"/>
      <c r="U13" s="138"/>
      <c r="V13" s="138"/>
      <c r="W13" s="371"/>
      <c r="X13" s="459">
        <v>3</v>
      </c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94"/>
      <c r="AQ13" s="76">
        <f t="shared" si="3"/>
        <v>3.1333333333333333</v>
      </c>
      <c r="AR13" s="77">
        <f t="shared" si="4"/>
        <v>0</v>
      </c>
      <c r="AS13" s="77">
        <f t="shared" si="5"/>
        <v>0</v>
      </c>
    </row>
    <row r="14" spans="1:45" ht="15.75" customHeight="1">
      <c r="A14" s="457" t="s">
        <v>65</v>
      </c>
      <c r="B14" s="458" t="s">
        <v>66</v>
      </c>
      <c r="C14" s="371"/>
      <c r="D14" s="371"/>
      <c r="E14" s="459">
        <v>5</v>
      </c>
      <c r="F14" s="459">
        <v>3</v>
      </c>
      <c r="G14" s="459">
        <v>3</v>
      </c>
      <c r="H14" s="459">
        <v>3</v>
      </c>
      <c r="I14" s="459">
        <v>3</v>
      </c>
      <c r="J14" s="459">
        <v>3</v>
      </c>
      <c r="K14" s="459">
        <v>3</v>
      </c>
      <c r="L14" s="459">
        <v>3</v>
      </c>
      <c r="M14" s="463">
        <v>3</v>
      </c>
      <c r="N14" s="463">
        <v>3</v>
      </c>
      <c r="O14" s="463">
        <v>3</v>
      </c>
      <c r="P14" s="459">
        <v>3</v>
      </c>
      <c r="Q14" s="371"/>
      <c r="R14" s="459">
        <v>3</v>
      </c>
      <c r="S14" s="459">
        <v>3</v>
      </c>
      <c r="T14" s="371"/>
      <c r="U14" s="371"/>
      <c r="V14" s="371"/>
      <c r="W14" s="371"/>
      <c r="X14" s="459">
        <v>3</v>
      </c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97"/>
      <c r="AQ14" s="76">
        <f t="shared" si="3"/>
        <v>3.1333333333333333</v>
      </c>
      <c r="AR14" s="77">
        <f t="shared" si="4"/>
        <v>0</v>
      </c>
      <c r="AS14" s="77">
        <f t="shared" si="5"/>
        <v>0</v>
      </c>
    </row>
    <row r="15" spans="1:45" ht="15.75" customHeight="1">
      <c r="A15" s="457" t="s">
        <v>67</v>
      </c>
      <c r="B15" s="458" t="s">
        <v>68</v>
      </c>
      <c r="C15" s="371"/>
      <c r="D15" s="371"/>
      <c r="E15" s="459">
        <v>5</v>
      </c>
      <c r="F15" s="371">
        <v>4</v>
      </c>
      <c r="G15" s="459">
        <v>5</v>
      </c>
      <c r="H15" s="459">
        <v>3</v>
      </c>
      <c r="I15" s="371">
        <v>4</v>
      </c>
      <c r="J15" s="459">
        <v>5</v>
      </c>
      <c r="K15" s="459">
        <v>5</v>
      </c>
      <c r="L15" s="459">
        <v>5</v>
      </c>
      <c r="M15" s="371">
        <v>4</v>
      </c>
      <c r="N15" s="371">
        <v>4</v>
      </c>
      <c r="O15" s="463">
        <v>4</v>
      </c>
      <c r="P15" s="459">
        <v>5</v>
      </c>
      <c r="Q15" s="371"/>
      <c r="R15" s="459">
        <v>4</v>
      </c>
      <c r="S15" s="459">
        <v>4</v>
      </c>
      <c r="T15" s="371"/>
      <c r="U15" s="371"/>
      <c r="V15" s="371"/>
      <c r="W15" s="371"/>
      <c r="X15" s="459">
        <v>4</v>
      </c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97"/>
      <c r="AQ15" s="76">
        <f t="shared" si="3"/>
        <v>4.333333333333333</v>
      </c>
      <c r="AR15" s="77">
        <f t="shared" si="4"/>
        <v>0</v>
      </c>
      <c r="AS15" s="77">
        <f t="shared" si="5"/>
        <v>0</v>
      </c>
    </row>
    <row r="16" spans="1:45" ht="15.75" customHeight="1">
      <c r="A16" s="457" t="s">
        <v>71</v>
      </c>
      <c r="B16" s="458" t="s">
        <v>70</v>
      </c>
      <c r="C16" s="371"/>
      <c r="D16" s="371"/>
      <c r="E16" s="459">
        <v>5</v>
      </c>
      <c r="F16" s="371">
        <v>4</v>
      </c>
      <c r="G16" s="371">
        <v>4</v>
      </c>
      <c r="H16" s="371">
        <v>4</v>
      </c>
      <c r="I16" s="371">
        <v>4</v>
      </c>
      <c r="J16" s="371">
        <v>4</v>
      </c>
      <c r="K16" s="371">
        <v>4</v>
      </c>
      <c r="L16" s="371">
        <v>4</v>
      </c>
      <c r="M16" s="371">
        <v>4</v>
      </c>
      <c r="N16" s="371">
        <v>4</v>
      </c>
      <c r="O16" s="371">
        <v>4</v>
      </c>
      <c r="P16" s="371">
        <v>4</v>
      </c>
      <c r="Q16" s="371"/>
      <c r="R16" s="459">
        <v>3</v>
      </c>
      <c r="S16" s="459">
        <v>3</v>
      </c>
      <c r="T16" s="371"/>
      <c r="U16" s="371"/>
      <c r="V16" s="371"/>
      <c r="W16" s="371"/>
      <c r="X16" s="459">
        <v>4</v>
      </c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97"/>
      <c r="AQ16" s="76">
        <f t="shared" si="3"/>
        <v>3.9333333333333331</v>
      </c>
      <c r="AR16" s="77">
        <f t="shared" si="4"/>
        <v>0</v>
      </c>
      <c r="AS16" s="77">
        <f t="shared" si="5"/>
        <v>0</v>
      </c>
    </row>
    <row r="17" spans="1:45" ht="15.75" customHeight="1">
      <c r="A17" s="468" t="s">
        <v>69</v>
      </c>
      <c r="B17" s="469" t="s">
        <v>72</v>
      </c>
      <c r="C17" s="138"/>
      <c r="D17" s="138"/>
      <c r="E17" s="463">
        <v>3</v>
      </c>
      <c r="F17" s="463">
        <v>3</v>
      </c>
      <c r="G17" s="463">
        <v>3</v>
      </c>
      <c r="H17" s="463">
        <v>3</v>
      </c>
      <c r="I17" s="463">
        <v>3</v>
      </c>
      <c r="J17" s="459">
        <v>3</v>
      </c>
      <c r="K17" s="459">
        <v>3</v>
      </c>
      <c r="L17" s="459">
        <v>3</v>
      </c>
      <c r="M17" s="459">
        <v>3</v>
      </c>
      <c r="N17" s="459">
        <v>3</v>
      </c>
      <c r="O17" s="459">
        <v>3</v>
      </c>
      <c r="P17" s="463">
        <v>3</v>
      </c>
      <c r="Q17" s="371"/>
      <c r="R17" s="459">
        <v>3</v>
      </c>
      <c r="S17" s="459">
        <v>3</v>
      </c>
      <c r="T17" s="371"/>
      <c r="U17" s="371"/>
      <c r="V17" s="371"/>
      <c r="W17" s="371"/>
      <c r="X17" s="459">
        <v>3</v>
      </c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7"/>
      <c r="AQ17" s="76">
        <f t="shared" si="3"/>
        <v>3</v>
      </c>
      <c r="AR17" s="77">
        <f t="shared" si="4"/>
        <v>0</v>
      </c>
      <c r="AS17" s="77">
        <f t="shared" si="5"/>
        <v>0</v>
      </c>
    </row>
    <row r="18" spans="1:45" ht="15.75" customHeight="1">
      <c r="A18" s="461" t="s">
        <v>73</v>
      </c>
      <c r="B18" s="470" t="s">
        <v>74</v>
      </c>
      <c r="C18" s="371"/>
      <c r="D18" s="371"/>
      <c r="E18" s="459">
        <v>5</v>
      </c>
      <c r="F18" s="371"/>
      <c r="G18" s="371"/>
      <c r="H18" s="371"/>
      <c r="I18" s="371"/>
      <c r="J18" s="371"/>
      <c r="K18" s="371"/>
      <c r="L18" s="371"/>
      <c r="M18" s="371"/>
      <c r="N18" s="371"/>
      <c r="O18" s="371"/>
      <c r="P18" s="371"/>
      <c r="Q18" s="346" t="s">
        <v>46</v>
      </c>
      <c r="R18" s="346" t="s">
        <v>46</v>
      </c>
      <c r="S18" s="346" t="s">
        <v>46</v>
      </c>
      <c r="T18" s="70" t="s">
        <v>48</v>
      </c>
      <c r="U18" s="371"/>
      <c r="V18" s="371"/>
      <c r="W18" s="471" t="s">
        <v>46</v>
      </c>
      <c r="X18" s="460" t="s">
        <v>46</v>
      </c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94"/>
      <c r="AQ18" s="76">
        <f t="shared" si="3"/>
        <v>5</v>
      </c>
      <c r="AR18" s="77">
        <f t="shared" si="4"/>
        <v>1</v>
      </c>
      <c r="AS18" s="77">
        <f t="shared" si="5"/>
        <v>5</v>
      </c>
    </row>
    <row r="19" spans="1:45" ht="15.75" customHeight="1">
      <c r="A19" s="457" t="s">
        <v>75</v>
      </c>
      <c r="B19" s="458" t="s">
        <v>76</v>
      </c>
      <c r="C19" s="371"/>
      <c r="D19" s="371"/>
      <c r="E19" s="459">
        <v>5</v>
      </c>
      <c r="F19" s="463">
        <v>5</v>
      </c>
      <c r="G19" s="459">
        <v>5</v>
      </c>
      <c r="H19" s="459">
        <v>5</v>
      </c>
      <c r="I19" s="459">
        <v>4</v>
      </c>
      <c r="J19" s="463">
        <v>4</v>
      </c>
      <c r="K19" s="463">
        <v>5</v>
      </c>
      <c r="L19" s="463">
        <v>5</v>
      </c>
      <c r="M19" s="459">
        <v>4</v>
      </c>
      <c r="N19" s="459">
        <v>5</v>
      </c>
      <c r="O19" s="459">
        <v>5</v>
      </c>
      <c r="P19" s="463">
        <v>5</v>
      </c>
      <c r="Q19" s="371"/>
      <c r="R19" s="459">
        <v>4</v>
      </c>
      <c r="S19" s="459">
        <v>3</v>
      </c>
      <c r="T19" s="371"/>
      <c r="U19" s="371"/>
      <c r="V19" s="371"/>
      <c r="W19" s="371"/>
      <c r="X19" s="459">
        <v>4</v>
      </c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97"/>
      <c r="AQ19" s="76">
        <f t="shared" si="3"/>
        <v>4.5333333333333332</v>
      </c>
      <c r="AR19" s="77">
        <f t="shared" si="4"/>
        <v>0</v>
      </c>
      <c r="AS19" s="77">
        <f t="shared" si="5"/>
        <v>0</v>
      </c>
    </row>
    <row r="20" spans="1:45" ht="16.5" customHeight="1">
      <c r="A20" s="457" t="s">
        <v>77</v>
      </c>
      <c r="B20" s="458" t="s">
        <v>78</v>
      </c>
      <c r="C20" s="371"/>
      <c r="D20" s="371"/>
      <c r="E20" s="459">
        <v>5</v>
      </c>
      <c r="F20" s="459">
        <v>3</v>
      </c>
      <c r="G20" s="459">
        <v>3</v>
      </c>
      <c r="H20" s="459">
        <v>3</v>
      </c>
      <c r="I20" s="459">
        <v>3</v>
      </c>
      <c r="J20" s="459">
        <v>3</v>
      </c>
      <c r="K20" s="459">
        <v>3</v>
      </c>
      <c r="L20" s="459">
        <v>3</v>
      </c>
      <c r="M20" s="459">
        <v>3</v>
      </c>
      <c r="N20" s="459">
        <v>3</v>
      </c>
      <c r="O20" s="459">
        <v>3</v>
      </c>
      <c r="P20" s="459">
        <v>3</v>
      </c>
      <c r="Q20" s="371"/>
      <c r="R20" s="459">
        <v>3</v>
      </c>
      <c r="S20" s="459">
        <v>3</v>
      </c>
      <c r="T20" s="371"/>
      <c r="U20" s="371"/>
      <c r="V20" s="371"/>
      <c r="W20" s="371"/>
      <c r="X20" s="459">
        <v>3</v>
      </c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97"/>
      <c r="AQ20" s="76">
        <f t="shared" si="3"/>
        <v>3.1333333333333333</v>
      </c>
      <c r="AR20" s="77">
        <f t="shared" si="4"/>
        <v>0</v>
      </c>
      <c r="AS20" s="77">
        <f t="shared" si="5"/>
        <v>0</v>
      </c>
    </row>
    <row r="21" spans="1:45" ht="15.75" customHeight="1">
      <c r="A21" s="468" t="s">
        <v>81</v>
      </c>
      <c r="B21" s="458" t="s">
        <v>80</v>
      </c>
      <c r="C21" s="371"/>
      <c r="D21" s="371"/>
      <c r="E21" s="459">
        <v>5</v>
      </c>
      <c r="F21" s="459">
        <v>5</v>
      </c>
      <c r="G21" s="459">
        <v>5</v>
      </c>
      <c r="H21" s="459">
        <v>4</v>
      </c>
      <c r="I21" s="459">
        <v>4</v>
      </c>
      <c r="J21" s="459">
        <v>5</v>
      </c>
      <c r="K21" s="459">
        <v>5</v>
      </c>
      <c r="L21" s="459">
        <v>5</v>
      </c>
      <c r="M21" s="459">
        <v>5</v>
      </c>
      <c r="N21" s="459">
        <v>4</v>
      </c>
      <c r="O21" s="459">
        <v>4</v>
      </c>
      <c r="P21" s="459">
        <v>5</v>
      </c>
      <c r="Q21" s="371"/>
      <c r="R21" s="459">
        <v>5</v>
      </c>
      <c r="S21" s="459">
        <v>5</v>
      </c>
      <c r="T21" s="371"/>
      <c r="U21" s="371"/>
      <c r="V21" s="371"/>
      <c r="W21" s="371"/>
      <c r="X21" s="459">
        <v>5</v>
      </c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7"/>
      <c r="AQ21" s="76">
        <f>IFERROR(AVERAGE(U21:AP21),"Нет оценок")</f>
        <v>5</v>
      </c>
      <c r="AR21" s="77">
        <f>COUNTIF(U21:AP21,"н/у")</f>
        <v>0</v>
      </c>
      <c r="AS21" s="77">
        <f>COUNTIF(U21:AP21,"н")</f>
        <v>0</v>
      </c>
    </row>
    <row r="22" spans="1:45" ht="15.75" customHeight="1">
      <c r="A22" s="461" t="s">
        <v>83</v>
      </c>
      <c r="B22" s="465" t="s">
        <v>84</v>
      </c>
      <c r="C22" s="138"/>
      <c r="D22" s="371"/>
      <c r="E22" s="459">
        <v>5</v>
      </c>
      <c r="F22" s="463">
        <v>4</v>
      </c>
      <c r="G22" s="463">
        <v>5</v>
      </c>
      <c r="H22" s="463">
        <v>4</v>
      </c>
      <c r="I22" s="463">
        <v>5</v>
      </c>
      <c r="J22" s="459">
        <v>5</v>
      </c>
      <c r="K22" s="459">
        <v>4</v>
      </c>
      <c r="L22" s="459">
        <v>3</v>
      </c>
      <c r="M22" s="459">
        <v>5</v>
      </c>
      <c r="N22" s="459">
        <v>4</v>
      </c>
      <c r="O22" s="459">
        <v>4</v>
      </c>
      <c r="P22" s="463">
        <v>5</v>
      </c>
      <c r="Q22" s="371"/>
      <c r="R22" s="459">
        <v>3</v>
      </c>
      <c r="S22" s="459">
        <v>4</v>
      </c>
      <c r="T22" s="371"/>
      <c r="U22" s="371"/>
      <c r="V22" s="371"/>
      <c r="W22" s="371"/>
      <c r="X22" s="459">
        <v>4</v>
      </c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94"/>
      <c r="AQ22" s="76">
        <f t="shared" si="3"/>
        <v>4.2666666666666666</v>
      </c>
      <c r="AR22" s="77">
        <f t="shared" si="4"/>
        <v>0</v>
      </c>
      <c r="AS22" s="77">
        <f t="shared" si="5"/>
        <v>0</v>
      </c>
    </row>
    <row r="23" spans="1:45" ht="15.75" customHeight="1">
      <c r="A23" s="457" t="s">
        <v>27</v>
      </c>
      <c r="B23" s="458" t="s">
        <v>85</v>
      </c>
      <c r="C23" s="371"/>
      <c r="D23" s="371"/>
      <c r="E23" s="459">
        <v>5</v>
      </c>
      <c r="F23" s="459">
        <v>5</v>
      </c>
      <c r="G23" s="459">
        <v>5</v>
      </c>
      <c r="H23" s="459">
        <v>5</v>
      </c>
      <c r="I23" s="459">
        <v>5</v>
      </c>
      <c r="J23" s="459">
        <v>5</v>
      </c>
      <c r="K23" s="459">
        <v>4</v>
      </c>
      <c r="L23" s="459">
        <v>4</v>
      </c>
      <c r="M23" s="459">
        <v>5</v>
      </c>
      <c r="N23" s="459">
        <v>5</v>
      </c>
      <c r="O23" s="459">
        <v>5</v>
      </c>
      <c r="P23" s="459">
        <v>5</v>
      </c>
      <c r="Q23" s="371"/>
      <c r="R23" s="459">
        <v>4</v>
      </c>
      <c r="S23" s="459">
        <v>4</v>
      </c>
      <c r="T23" s="371"/>
      <c r="U23" s="371"/>
      <c r="V23" s="371"/>
      <c r="W23" s="371"/>
      <c r="X23" s="459">
        <v>5</v>
      </c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97"/>
      <c r="AQ23" s="76">
        <f t="shared" si="3"/>
        <v>4.7333333333333334</v>
      </c>
      <c r="AR23" s="77">
        <f t="shared" si="4"/>
        <v>0</v>
      </c>
      <c r="AS23" s="77">
        <f t="shared" si="5"/>
        <v>0</v>
      </c>
    </row>
    <row r="24" spans="1:45" ht="15.75" customHeight="1">
      <c r="A24" s="457" t="s">
        <v>86</v>
      </c>
      <c r="B24" s="458" t="s">
        <v>87</v>
      </c>
      <c r="C24" s="371"/>
      <c r="D24" s="371"/>
      <c r="E24" s="459">
        <v>5</v>
      </c>
      <c r="F24" s="463">
        <v>5</v>
      </c>
      <c r="G24" s="463">
        <v>4</v>
      </c>
      <c r="H24" s="463">
        <v>5</v>
      </c>
      <c r="I24" s="463">
        <v>5</v>
      </c>
      <c r="J24" s="459">
        <v>4</v>
      </c>
      <c r="K24" s="459">
        <v>5</v>
      </c>
      <c r="L24" s="459">
        <v>5</v>
      </c>
      <c r="M24" s="459">
        <v>5</v>
      </c>
      <c r="N24" s="459">
        <v>5</v>
      </c>
      <c r="O24" s="459">
        <v>5</v>
      </c>
      <c r="P24" s="463">
        <v>5</v>
      </c>
      <c r="Q24" s="371"/>
      <c r="R24" s="459">
        <v>5</v>
      </c>
      <c r="S24" s="459">
        <v>5</v>
      </c>
      <c r="T24" s="371"/>
      <c r="U24" s="371"/>
      <c r="V24" s="371"/>
      <c r="W24" s="371"/>
      <c r="X24" s="459">
        <v>5</v>
      </c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97"/>
      <c r="AQ24" s="76">
        <f t="shared" si="3"/>
        <v>4.8666666666666663</v>
      </c>
      <c r="AR24" s="77">
        <f t="shared" si="4"/>
        <v>0</v>
      </c>
      <c r="AS24" s="77">
        <f t="shared" si="5"/>
        <v>0</v>
      </c>
    </row>
    <row r="25" spans="1:45" ht="15.75" hidden="1" customHeight="1">
      <c r="A25" s="457" t="s">
        <v>89</v>
      </c>
      <c r="B25" s="458" t="s">
        <v>88</v>
      </c>
      <c r="C25" s="371"/>
      <c r="D25" s="371"/>
      <c r="E25" s="459"/>
      <c r="F25" s="459"/>
      <c r="G25" s="459"/>
      <c r="H25" s="459"/>
      <c r="I25" s="459"/>
      <c r="J25" s="459"/>
      <c r="K25" s="459"/>
      <c r="L25" s="459"/>
      <c r="M25" s="459"/>
      <c r="N25" s="459"/>
      <c r="O25" s="459"/>
      <c r="P25" s="472"/>
      <c r="Q25" s="371"/>
      <c r="R25" s="459"/>
      <c r="S25" s="459"/>
      <c r="T25" s="371"/>
      <c r="U25" s="371"/>
      <c r="V25" s="371"/>
      <c r="W25" s="371"/>
      <c r="X25" s="459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97"/>
      <c r="AQ25" s="76" t="str">
        <f t="shared" si="3"/>
        <v>Нет оценок</v>
      </c>
      <c r="AR25" s="77">
        <f t="shared" si="4"/>
        <v>0</v>
      </c>
      <c r="AS25" s="77">
        <f t="shared" si="5"/>
        <v>0</v>
      </c>
    </row>
    <row r="26" spans="1:45" ht="15.75" customHeight="1">
      <c r="A26" s="473" t="s">
        <v>91</v>
      </c>
      <c r="B26" s="474" t="s">
        <v>90</v>
      </c>
      <c r="C26" s="371"/>
      <c r="D26" s="371"/>
      <c r="E26" s="459">
        <v>5</v>
      </c>
      <c r="F26" s="459">
        <v>3</v>
      </c>
      <c r="G26" s="472">
        <v>3</v>
      </c>
      <c r="H26" s="463">
        <v>3</v>
      </c>
      <c r="I26" s="472">
        <v>3</v>
      </c>
      <c r="J26" s="459">
        <v>3</v>
      </c>
      <c r="K26" s="475">
        <v>3</v>
      </c>
      <c r="L26" s="459">
        <v>3</v>
      </c>
      <c r="M26" s="475">
        <v>3</v>
      </c>
      <c r="N26" s="459">
        <v>3</v>
      </c>
      <c r="O26" s="475">
        <v>3</v>
      </c>
      <c r="P26" s="463">
        <v>3</v>
      </c>
      <c r="Q26" s="466" t="s">
        <v>48</v>
      </c>
      <c r="R26" s="472">
        <v>3</v>
      </c>
      <c r="S26" s="463">
        <v>3</v>
      </c>
      <c r="T26" s="476"/>
      <c r="U26" s="371"/>
      <c r="V26" s="371"/>
      <c r="W26" s="477"/>
      <c r="X26" s="459">
        <v>3</v>
      </c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125"/>
      <c r="AQ26" s="76">
        <f t="shared" si="3"/>
        <v>3.1333333333333333</v>
      </c>
      <c r="AR26" s="77">
        <f t="shared" si="4"/>
        <v>1</v>
      </c>
      <c r="AS26" s="77">
        <f t="shared" si="5"/>
        <v>0</v>
      </c>
    </row>
    <row r="27" spans="1:45" ht="15.75" customHeight="1">
      <c r="A27" s="457" t="s">
        <v>302</v>
      </c>
      <c r="B27" s="458" t="s">
        <v>92</v>
      </c>
      <c r="C27" s="371"/>
      <c r="D27" s="371"/>
      <c r="E27" s="459">
        <v>5</v>
      </c>
      <c r="F27" s="459">
        <v>4</v>
      </c>
      <c r="G27" s="459">
        <v>4</v>
      </c>
      <c r="H27" s="459">
        <v>4</v>
      </c>
      <c r="I27" s="459">
        <v>4</v>
      </c>
      <c r="J27" s="459">
        <v>4</v>
      </c>
      <c r="K27" s="459">
        <v>4</v>
      </c>
      <c r="L27" s="459">
        <v>4</v>
      </c>
      <c r="M27" s="459">
        <v>4</v>
      </c>
      <c r="N27" s="459">
        <v>4</v>
      </c>
      <c r="O27" s="459">
        <v>4</v>
      </c>
      <c r="P27" s="459">
        <v>4</v>
      </c>
      <c r="Q27" s="371"/>
      <c r="R27" s="459">
        <v>4</v>
      </c>
      <c r="S27" s="459">
        <v>4</v>
      </c>
      <c r="T27" s="371"/>
      <c r="U27" s="138"/>
      <c r="V27" s="138"/>
      <c r="W27" s="371"/>
      <c r="X27" s="459">
        <v>4</v>
      </c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97"/>
      <c r="AQ27" s="76">
        <f t="shared" si="3"/>
        <v>4.0666666666666664</v>
      </c>
      <c r="AR27" s="77">
        <f t="shared" si="4"/>
        <v>0</v>
      </c>
      <c r="AS27" s="77">
        <f t="shared" si="5"/>
        <v>0</v>
      </c>
    </row>
    <row r="28" spans="1:45" ht="15.75">
      <c r="AQ28" s="127">
        <f>IFERROR(AVERAGE(AQ5:AQ27),"")</f>
        <v>4.1222222222222218</v>
      </c>
      <c r="AR28" s="128">
        <f>SUM(AR5:AR27)</f>
        <v>11</v>
      </c>
      <c r="AS28" s="128">
        <f>SUM(AS5:AS27)</f>
        <v>16</v>
      </c>
    </row>
    <row r="29" spans="1:45" ht="15.75">
      <c r="A29" s="165" t="s">
        <v>93</v>
      </c>
      <c r="B29" s="165" t="s">
        <v>94</v>
      </c>
    </row>
    <row r="30" spans="1:45">
      <c r="A30" s="166"/>
      <c r="B30" s="166"/>
    </row>
    <row r="31" spans="1:45">
      <c r="A31" s="166"/>
      <c r="B31" s="166"/>
    </row>
    <row r="32" spans="1:45">
      <c r="A32" s="166"/>
      <c r="B32" s="166"/>
    </row>
    <row r="33" spans="1:2">
      <c r="A33" s="166"/>
      <c r="B33" s="166"/>
    </row>
    <row r="34" spans="1:2">
      <c r="A34" s="166"/>
      <c r="B34" s="166"/>
    </row>
    <row r="35" spans="1:2">
      <c r="A35" s="166"/>
      <c r="B35" s="166"/>
    </row>
    <row r="36" spans="1:2">
      <c r="A36" s="166"/>
      <c r="B36" s="166"/>
    </row>
    <row r="37" spans="1:2">
      <c r="A37" s="166"/>
      <c r="B37" s="166"/>
    </row>
    <row r="38" spans="1:2">
      <c r="A38" s="166"/>
      <c r="B38" s="166"/>
    </row>
    <row r="39" spans="1:2">
      <c r="A39" s="166"/>
      <c r="B39" s="166"/>
    </row>
    <row r="40" spans="1:2">
      <c r="A40" s="166"/>
      <c r="B40" s="166"/>
    </row>
    <row r="41" spans="1:2">
      <c r="A41" s="166"/>
      <c r="B41" s="166"/>
    </row>
    <row r="42" spans="1:2">
      <c r="A42" s="166"/>
      <c r="B42" s="166"/>
    </row>
    <row r="43" spans="1:2">
      <c r="A43" s="166"/>
      <c r="B43" s="166"/>
    </row>
    <row r="44" spans="1:2">
      <c r="A44" s="166"/>
      <c r="B44" s="166"/>
    </row>
    <row r="45" spans="1:2">
      <c r="A45" s="166"/>
      <c r="B45" s="166"/>
    </row>
    <row r="46" spans="1:2">
      <c r="A46" s="166"/>
      <c r="B46" s="166"/>
    </row>
    <row r="47" spans="1:2">
      <c r="A47" s="166"/>
      <c r="B47" s="166"/>
    </row>
    <row r="48" spans="1:2">
      <c r="A48" s="166"/>
      <c r="B48" s="166"/>
    </row>
    <row r="49" spans="1:2">
      <c r="A49" s="166"/>
      <c r="B49" s="166"/>
    </row>
    <row r="50" spans="1:2">
      <c r="A50" s="166"/>
      <c r="B50" s="166"/>
    </row>
    <row r="51" spans="1:2">
      <c r="A51" s="166"/>
      <c r="B51" s="166"/>
    </row>
    <row r="52" spans="1:2">
      <c r="A52" s="166"/>
      <c r="B52" s="166"/>
    </row>
    <row r="53" spans="1:2">
      <c r="A53" s="166"/>
      <c r="B53" s="166"/>
    </row>
    <row r="54" spans="1:2">
      <c r="A54" s="166"/>
      <c r="B54" s="166"/>
    </row>
    <row r="55" spans="1:2">
      <c r="A55" s="166"/>
      <c r="B55" s="166"/>
    </row>
    <row r="56" spans="1:2">
      <c r="A56" s="166"/>
      <c r="B56" s="166"/>
    </row>
    <row r="57" spans="1:2">
      <c r="A57" s="166"/>
      <c r="B57" s="166"/>
    </row>
    <row r="58" spans="1:2">
      <c r="A58" s="166"/>
      <c r="B58" s="166"/>
    </row>
    <row r="59" spans="1:2">
      <c r="A59" s="166"/>
      <c r="B59" s="166"/>
    </row>
    <row r="60" spans="1:2">
      <c r="A60" s="166"/>
      <c r="B60" s="166"/>
    </row>
    <row r="61" spans="1:2">
      <c r="A61" s="166"/>
      <c r="B61" s="166"/>
    </row>
    <row r="62" spans="1:2">
      <c r="A62" s="166"/>
      <c r="B62" s="166"/>
    </row>
    <row r="63" spans="1:2">
      <c r="A63" s="166"/>
      <c r="B63" s="166"/>
    </row>
    <row r="64" spans="1:2">
      <c r="A64" s="166"/>
      <c r="B64" s="166"/>
    </row>
    <row r="65" spans="1:2">
      <c r="A65" s="166"/>
      <c r="B65" s="166"/>
    </row>
  </sheetData>
  <mergeCells count="17">
    <mergeCell ref="AR3:AS3"/>
    <mergeCell ref="C4:E4"/>
    <mergeCell ref="Q4:S4"/>
    <mergeCell ref="U4:V4"/>
    <mergeCell ref="W4:X4"/>
    <mergeCell ref="A1:B1"/>
    <mergeCell ref="C1:AO1"/>
    <mergeCell ref="A2:B2"/>
    <mergeCell ref="C2:AO2"/>
    <mergeCell ref="A3:A4"/>
    <mergeCell ref="C3:E3"/>
    <mergeCell ref="G3:I3"/>
    <mergeCell ref="J3:L3"/>
    <mergeCell ref="M3:O3"/>
    <mergeCell ref="Q3:S3"/>
    <mergeCell ref="U3:V3"/>
    <mergeCell ref="W3:X3"/>
  </mergeCells>
  <conditionalFormatting sqref="AS5:AS27">
    <cfRule type="cellIs" dxfId="64" priority="2" operator="greaterThan">
      <formula>0</formula>
    </cfRule>
  </conditionalFormatting>
  <conditionalFormatting sqref="AQ5:AQ28">
    <cfRule type="cellIs" dxfId="63" priority="1" operator="lessThan">
      <formula>3</formula>
    </cfRule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66"/>
  <sheetViews>
    <sheetView zoomScale="85"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customWidth="1"/>
    <col min="2" max="2" width="34.44140625" customWidth="1"/>
    <col min="3" max="4" width="2.88671875" customWidth="1"/>
    <col min="5" max="5" width="3.6640625" customWidth="1"/>
    <col min="6" max="8" width="2.88671875" customWidth="1"/>
    <col min="9" max="47" width="2.77734375" customWidth="1"/>
    <col min="48" max="48" width="6.33203125" customWidth="1"/>
    <col min="49" max="49" width="10.6640625" customWidth="1"/>
    <col min="50" max="51" width="8.109375" customWidth="1"/>
  </cols>
  <sheetData>
    <row r="1" spans="1:51" ht="27.75">
      <c r="A1" s="1277" t="s">
        <v>38</v>
      </c>
      <c r="B1" s="1277"/>
      <c r="C1" s="1276" t="s">
        <v>13</v>
      </c>
      <c r="D1" s="1276"/>
      <c r="E1" s="1276"/>
      <c r="F1" s="1276"/>
      <c r="G1" s="1276"/>
      <c r="H1" s="1276"/>
      <c r="I1" s="1276"/>
      <c r="J1" s="1276"/>
      <c r="K1" s="1276"/>
      <c r="L1" s="1276"/>
      <c r="M1" s="1276"/>
      <c r="N1" s="1276"/>
      <c r="O1" s="1276"/>
      <c r="P1" s="1276"/>
      <c r="Q1" s="1276"/>
      <c r="R1" s="1276"/>
      <c r="S1" s="1276"/>
      <c r="T1" s="1276"/>
      <c r="U1" s="1276"/>
      <c r="V1" s="1276"/>
      <c r="W1" s="1276"/>
      <c r="X1" s="1276"/>
      <c r="Y1" s="1276"/>
      <c r="Z1" s="1276"/>
      <c r="AA1" s="1276"/>
      <c r="AB1" s="1276"/>
      <c r="AC1" s="1276"/>
      <c r="AD1" s="1276"/>
      <c r="AE1" s="1276"/>
      <c r="AF1" s="1276"/>
      <c r="AG1" s="1276"/>
      <c r="AH1" s="1276"/>
      <c r="AI1" s="1276"/>
      <c r="AJ1" s="1276"/>
      <c r="AK1" s="1276"/>
      <c r="AL1" s="1276"/>
      <c r="AM1" s="1276"/>
      <c r="AN1" s="1276"/>
      <c r="AO1" s="1276"/>
      <c r="AP1" s="1276"/>
      <c r="AQ1" s="1276"/>
      <c r="AR1" s="1276"/>
      <c r="AS1" s="1276"/>
      <c r="AT1" s="1276"/>
      <c r="AU1" s="1276"/>
      <c r="AV1" s="29"/>
    </row>
    <row r="2" spans="1:51" ht="27.75">
      <c r="A2" s="1277" t="s">
        <v>39</v>
      </c>
      <c r="B2" s="1277"/>
      <c r="C2" s="1277" t="s">
        <v>303</v>
      </c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1277"/>
      <c r="AD2" s="1277"/>
      <c r="AE2" s="1277"/>
      <c r="AF2" s="1277"/>
      <c r="AG2" s="1277"/>
      <c r="AH2" s="1277"/>
      <c r="AI2" s="1277"/>
      <c r="AJ2" s="1277"/>
      <c r="AK2" s="1277"/>
      <c r="AL2" s="1277"/>
      <c r="AM2" s="1277"/>
      <c r="AN2" s="1277"/>
      <c r="AO2" s="1277"/>
      <c r="AP2" s="1277"/>
      <c r="AQ2" s="1277"/>
      <c r="AR2" s="1277"/>
      <c r="AS2" s="1277"/>
      <c r="AT2" s="1277"/>
      <c r="AU2" s="1277"/>
      <c r="AV2" s="31"/>
      <c r="AW2" s="32"/>
      <c r="AX2" s="32"/>
      <c r="AY2" s="32"/>
    </row>
    <row r="3" spans="1:51" ht="15.75">
      <c r="A3" s="1281" t="s">
        <v>41</v>
      </c>
      <c r="B3" s="129" t="s">
        <v>42</v>
      </c>
      <c r="C3" s="130">
        <v>9</v>
      </c>
      <c r="D3" s="42">
        <v>9</v>
      </c>
      <c r="E3" s="42">
        <v>9</v>
      </c>
      <c r="F3" s="42">
        <v>10</v>
      </c>
      <c r="G3" s="42">
        <v>10</v>
      </c>
      <c r="H3" s="42">
        <v>10</v>
      </c>
      <c r="I3" s="42">
        <v>11</v>
      </c>
      <c r="J3" s="42">
        <v>11</v>
      </c>
      <c r="K3" s="478">
        <v>11</v>
      </c>
      <c r="L3" s="42">
        <v>11</v>
      </c>
      <c r="M3" s="42">
        <v>11</v>
      </c>
      <c r="N3" s="42">
        <v>12</v>
      </c>
      <c r="O3" s="42">
        <v>12</v>
      </c>
      <c r="P3" s="42">
        <v>12</v>
      </c>
      <c r="Q3" s="479">
        <v>12</v>
      </c>
      <c r="R3" s="42">
        <v>12</v>
      </c>
      <c r="S3" s="37">
        <v>12</v>
      </c>
      <c r="T3" s="43">
        <v>12</v>
      </c>
      <c r="U3" s="43">
        <v>2</v>
      </c>
      <c r="V3" s="43">
        <v>2</v>
      </c>
      <c r="W3" s="43">
        <v>3</v>
      </c>
      <c r="X3" s="43">
        <v>3</v>
      </c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315"/>
      <c r="AQ3" s="315"/>
      <c r="AR3" s="315"/>
      <c r="AS3" s="315"/>
      <c r="AT3" s="315"/>
      <c r="AU3" s="315"/>
      <c r="AV3" s="44" t="s">
        <v>207</v>
      </c>
      <c r="AW3" s="45"/>
      <c r="AX3" s="1278" t="s">
        <v>0</v>
      </c>
      <c r="AY3" s="1279"/>
    </row>
    <row r="4" spans="1:51" ht="15.75">
      <c r="A4" s="1282"/>
      <c r="B4" s="132" t="s">
        <v>43</v>
      </c>
      <c r="C4" s="133">
        <v>11</v>
      </c>
      <c r="D4" s="57">
        <v>24</v>
      </c>
      <c r="E4" s="57">
        <v>24</v>
      </c>
      <c r="F4" s="57">
        <v>22</v>
      </c>
      <c r="G4" s="57">
        <v>25</v>
      </c>
      <c r="H4" s="57">
        <v>31</v>
      </c>
      <c r="I4" s="57">
        <v>22</v>
      </c>
      <c r="J4" s="57">
        <v>22</v>
      </c>
      <c r="K4" s="480">
        <v>25</v>
      </c>
      <c r="L4" s="57">
        <v>26</v>
      </c>
      <c r="M4" s="57">
        <v>26</v>
      </c>
      <c r="N4" s="57">
        <v>1</v>
      </c>
      <c r="O4" s="57">
        <v>6</v>
      </c>
      <c r="P4" s="57">
        <v>6</v>
      </c>
      <c r="Q4" s="481">
        <v>13</v>
      </c>
      <c r="R4" s="57">
        <v>15</v>
      </c>
      <c r="S4" s="52">
        <v>15</v>
      </c>
      <c r="T4" s="58">
        <v>20</v>
      </c>
      <c r="U4" s="58">
        <v>13</v>
      </c>
      <c r="V4" s="58">
        <v>27</v>
      </c>
      <c r="W4" s="58">
        <v>14</v>
      </c>
      <c r="X4" s="58">
        <v>14</v>
      </c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9" t="s">
        <v>225</v>
      </c>
      <c r="AW4" s="45" t="s">
        <v>33</v>
      </c>
      <c r="AX4" s="60" t="s">
        <v>5</v>
      </c>
      <c r="AY4" s="60" t="s">
        <v>6</v>
      </c>
    </row>
    <row r="5" spans="1:51" ht="16.5" customHeight="1">
      <c r="A5" s="136" t="s">
        <v>44</v>
      </c>
      <c r="B5" s="137" t="s">
        <v>45</v>
      </c>
      <c r="C5" s="74"/>
      <c r="D5" s="74"/>
      <c r="E5" s="74"/>
      <c r="F5" s="74" t="s">
        <v>37</v>
      </c>
      <c r="G5" s="74"/>
      <c r="H5" s="74" t="s">
        <v>46</v>
      </c>
      <c r="I5" s="74" t="s">
        <v>46</v>
      </c>
      <c r="J5" s="74" t="s">
        <v>46</v>
      </c>
      <c r="K5" s="482" t="s">
        <v>46</v>
      </c>
      <c r="L5" s="74"/>
      <c r="M5" s="74"/>
      <c r="N5" s="74" t="s">
        <v>46</v>
      </c>
      <c r="O5" s="74" t="s">
        <v>46</v>
      </c>
      <c r="P5" s="74" t="s">
        <v>46</v>
      </c>
      <c r="Q5" s="483"/>
      <c r="R5" s="74" t="s">
        <v>46</v>
      </c>
      <c r="S5" s="484">
        <v>2</v>
      </c>
      <c r="T5" s="70" t="s">
        <v>46</v>
      </c>
      <c r="U5" s="70"/>
      <c r="V5" s="70"/>
      <c r="W5" s="70" t="s">
        <v>46</v>
      </c>
      <c r="X5" s="70" t="s">
        <v>46</v>
      </c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322"/>
      <c r="AS5" s="70"/>
      <c r="AT5" s="322"/>
      <c r="AU5" s="322"/>
      <c r="AV5" s="75"/>
      <c r="AW5" s="76">
        <f t="shared" ref="AW5:AW9" si="0">IFERROR(AVERAGE(C5:AV5),"Нет оценок")</f>
        <v>2</v>
      </c>
      <c r="AX5" s="77">
        <f t="shared" ref="AX5:AX9" si="1">COUNTIF(C5:AU5,"н/у")</f>
        <v>0</v>
      </c>
      <c r="AY5" s="77">
        <f t="shared" ref="AY5:AY9" si="2">COUNTIF(C5:AV5,"н")</f>
        <v>11</v>
      </c>
    </row>
    <row r="6" spans="1:51" ht="16.5" customHeight="1">
      <c r="A6" s="139" t="s">
        <v>49</v>
      </c>
      <c r="B6" s="140" t="s">
        <v>50</v>
      </c>
      <c r="C6" s="108"/>
      <c r="D6" s="108"/>
      <c r="E6" s="485"/>
      <c r="F6" s="70" t="s">
        <v>48</v>
      </c>
      <c r="G6" s="108"/>
      <c r="H6" s="108"/>
      <c r="I6" s="108" t="s">
        <v>46</v>
      </c>
      <c r="J6" s="108" t="s">
        <v>46</v>
      </c>
      <c r="K6" s="486">
        <v>3</v>
      </c>
      <c r="L6" s="108" t="s">
        <v>46</v>
      </c>
      <c r="M6" s="108" t="s">
        <v>46</v>
      </c>
      <c r="N6" s="108"/>
      <c r="O6" s="108"/>
      <c r="P6" s="108"/>
      <c r="Q6" s="352"/>
      <c r="R6" s="108" t="s">
        <v>234</v>
      </c>
      <c r="S6" s="487">
        <v>4</v>
      </c>
      <c r="T6" s="96" t="s">
        <v>37</v>
      </c>
      <c r="U6" s="96" t="s">
        <v>46</v>
      </c>
      <c r="V6" s="96" t="s">
        <v>234</v>
      </c>
      <c r="W6" s="96" t="s">
        <v>46</v>
      </c>
      <c r="X6" s="96" t="s">
        <v>46</v>
      </c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327"/>
      <c r="AS6" s="96"/>
      <c r="AT6" s="327"/>
      <c r="AU6" s="327"/>
      <c r="AV6" s="396"/>
      <c r="AW6" s="76">
        <f t="shared" si="0"/>
        <v>3.5</v>
      </c>
      <c r="AX6" s="77">
        <f t="shared" si="1"/>
        <v>1</v>
      </c>
      <c r="AY6" s="77">
        <f t="shared" si="2"/>
        <v>7</v>
      </c>
    </row>
    <row r="7" spans="1:51" ht="16.5" customHeight="1">
      <c r="A7" s="204" t="s">
        <v>51</v>
      </c>
      <c r="B7" s="137" t="s">
        <v>52</v>
      </c>
      <c r="C7" s="74"/>
      <c r="D7" s="74"/>
      <c r="E7" s="74"/>
      <c r="F7" s="74" t="s">
        <v>37</v>
      </c>
      <c r="G7" s="74"/>
      <c r="H7" s="74"/>
      <c r="I7" s="74"/>
      <c r="J7" s="74"/>
      <c r="K7" s="482">
        <v>3</v>
      </c>
      <c r="L7" s="74"/>
      <c r="M7" s="74"/>
      <c r="N7" s="74"/>
      <c r="O7" s="74"/>
      <c r="P7" s="74"/>
      <c r="Q7" s="483"/>
      <c r="R7" s="74"/>
      <c r="S7" s="484">
        <v>2</v>
      </c>
      <c r="T7" s="70" t="s">
        <v>37</v>
      </c>
      <c r="U7" s="70"/>
      <c r="V7" s="70" t="s">
        <v>234</v>
      </c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322"/>
      <c r="AS7" s="70"/>
      <c r="AT7" s="322"/>
      <c r="AU7" s="322"/>
      <c r="AV7" s="75"/>
      <c r="AW7" s="76">
        <f t="shared" si="0"/>
        <v>2.5</v>
      </c>
      <c r="AX7" s="77">
        <f t="shared" si="1"/>
        <v>0</v>
      </c>
      <c r="AY7" s="77">
        <f t="shared" si="2"/>
        <v>0</v>
      </c>
    </row>
    <row r="8" spans="1:51" ht="16.5" customHeight="1">
      <c r="A8" s="144" t="s">
        <v>53</v>
      </c>
      <c r="B8" s="137" t="s">
        <v>54</v>
      </c>
      <c r="C8" s="74"/>
      <c r="D8" s="74"/>
      <c r="E8" s="74"/>
      <c r="F8" s="74" t="s">
        <v>46</v>
      </c>
      <c r="G8" s="74" t="s">
        <v>46</v>
      </c>
      <c r="H8" s="74"/>
      <c r="I8" s="74" t="s">
        <v>46</v>
      </c>
      <c r="J8" s="74" t="s">
        <v>46</v>
      </c>
      <c r="K8" s="482">
        <v>2</v>
      </c>
      <c r="L8" s="74" t="s">
        <v>46</v>
      </c>
      <c r="M8" s="74" t="s">
        <v>46</v>
      </c>
      <c r="N8" s="74" t="s">
        <v>46</v>
      </c>
      <c r="O8" s="74"/>
      <c r="P8" s="74"/>
      <c r="Q8" s="483"/>
      <c r="R8" s="74" t="s">
        <v>234</v>
      </c>
      <c r="S8" s="345">
        <v>3</v>
      </c>
      <c r="T8" s="70" t="s">
        <v>46</v>
      </c>
      <c r="U8" s="70" t="s">
        <v>46</v>
      </c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322"/>
      <c r="AS8" s="70"/>
      <c r="AT8" s="322"/>
      <c r="AU8" s="322"/>
      <c r="AV8" s="75"/>
      <c r="AW8" s="76">
        <f t="shared" si="0"/>
        <v>2.5</v>
      </c>
      <c r="AX8" s="77">
        <f t="shared" si="1"/>
        <v>0</v>
      </c>
      <c r="AY8" s="77">
        <f t="shared" si="2"/>
        <v>9</v>
      </c>
    </row>
    <row r="9" spans="1:51" ht="16.5" customHeight="1">
      <c r="A9" s="146" t="s">
        <v>55</v>
      </c>
      <c r="B9" s="147" t="s">
        <v>56</v>
      </c>
      <c r="C9" s="105"/>
      <c r="D9" s="105"/>
      <c r="E9" s="105"/>
      <c r="F9" s="105" t="s">
        <v>46</v>
      </c>
      <c r="G9" s="105"/>
      <c r="H9" s="105"/>
      <c r="I9" s="105" t="s">
        <v>48</v>
      </c>
      <c r="J9" s="105" t="s">
        <v>46</v>
      </c>
      <c r="K9" s="488">
        <v>5</v>
      </c>
      <c r="L9" s="105"/>
      <c r="M9" s="105"/>
      <c r="N9" s="105"/>
      <c r="O9" s="105"/>
      <c r="P9" s="105"/>
      <c r="Q9" s="489"/>
      <c r="R9" s="105" t="s">
        <v>234</v>
      </c>
      <c r="S9" s="490">
        <v>3</v>
      </c>
      <c r="T9" s="119" t="s">
        <v>46</v>
      </c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411"/>
      <c r="AW9" s="76">
        <f t="shared" si="0"/>
        <v>4</v>
      </c>
      <c r="AX9" s="77">
        <f t="shared" si="1"/>
        <v>1</v>
      </c>
      <c r="AY9" s="77">
        <f t="shared" si="2"/>
        <v>3</v>
      </c>
    </row>
    <row r="10" spans="1:51" ht="16.5" customHeight="1">
      <c r="A10" s="149" t="s">
        <v>57</v>
      </c>
      <c r="B10" s="150" t="s">
        <v>58</v>
      </c>
      <c r="C10" s="108"/>
      <c r="D10" s="108"/>
      <c r="E10" s="108"/>
      <c r="F10" s="108" t="s">
        <v>37</v>
      </c>
      <c r="G10" s="108"/>
      <c r="H10" s="108" t="s">
        <v>46</v>
      </c>
      <c r="I10" s="108"/>
      <c r="J10" s="108"/>
      <c r="K10" s="486">
        <v>5</v>
      </c>
      <c r="L10" s="108"/>
      <c r="M10" s="108"/>
      <c r="N10" s="108"/>
      <c r="O10" s="108"/>
      <c r="P10" s="108"/>
      <c r="Q10" s="352"/>
      <c r="R10" s="108"/>
      <c r="S10" s="487">
        <v>5</v>
      </c>
      <c r="T10" s="96" t="s">
        <v>37</v>
      </c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412"/>
      <c r="AW10" s="76">
        <f t="shared" ref="AW10:AW28" si="3">IFERROR(AVERAGE(C10:AV10),"Нет оценок")</f>
        <v>5</v>
      </c>
      <c r="AX10" s="77">
        <f t="shared" ref="AX10:AX28" si="4">COUNTIF(C10:AU10,"н/у")</f>
        <v>0</v>
      </c>
      <c r="AY10" s="77">
        <f t="shared" ref="AY10:AY28" si="5">COUNTIF(C10:AV10,"н")</f>
        <v>1</v>
      </c>
    </row>
    <row r="11" spans="1:51" ht="16.5" customHeight="1">
      <c r="A11" s="144" t="s">
        <v>59</v>
      </c>
      <c r="B11" s="137" t="s">
        <v>60</v>
      </c>
      <c r="C11" s="74" t="s">
        <v>46</v>
      </c>
      <c r="D11" s="74"/>
      <c r="E11" s="74"/>
      <c r="F11" s="74" t="s">
        <v>37</v>
      </c>
      <c r="G11" s="74" t="s">
        <v>46</v>
      </c>
      <c r="H11" s="74"/>
      <c r="I11" s="74" t="s">
        <v>46</v>
      </c>
      <c r="J11" s="74" t="s">
        <v>46</v>
      </c>
      <c r="K11" s="482">
        <v>2</v>
      </c>
      <c r="L11" s="74"/>
      <c r="M11" s="74" t="s">
        <v>46</v>
      </c>
      <c r="N11" s="74"/>
      <c r="O11" s="74"/>
      <c r="P11" s="74"/>
      <c r="Q11" s="483"/>
      <c r="R11" s="74"/>
      <c r="S11" s="491">
        <v>4</v>
      </c>
      <c r="T11" s="70" t="s">
        <v>37</v>
      </c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97"/>
      <c r="AW11" s="76">
        <f t="shared" si="3"/>
        <v>3</v>
      </c>
      <c r="AX11" s="77">
        <f t="shared" si="4"/>
        <v>0</v>
      </c>
      <c r="AY11" s="77">
        <f t="shared" si="5"/>
        <v>5</v>
      </c>
    </row>
    <row r="12" spans="1:51" ht="16.5" customHeight="1">
      <c r="A12" s="144" t="s">
        <v>61</v>
      </c>
      <c r="B12" s="137" t="s">
        <v>62</v>
      </c>
      <c r="C12" s="74" t="s">
        <v>46</v>
      </c>
      <c r="D12" s="74"/>
      <c r="E12" s="74"/>
      <c r="F12" s="74" t="s">
        <v>37</v>
      </c>
      <c r="G12" s="74"/>
      <c r="H12" s="74"/>
      <c r="I12" s="74"/>
      <c r="J12" s="74"/>
      <c r="K12" s="482">
        <v>2</v>
      </c>
      <c r="L12" s="74"/>
      <c r="M12" s="74"/>
      <c r="N12" s="74"/>
      <c r="O12" s="74"/>
      <c r="P12" s="74"/>
      <c r="Q12" s="483"/>
      <c r="R12" s="74"/>
      <c r="S12" s="491">
        <v>5</v>
      </c>
      <c r="T12" s="70" t="s">
        <v>37</v>
      </c>
      <c r="U12" s="70"/>
      <c r="V12" s="70"/>
      <c r="W12" s="70" t="s">
        <v>46</v>
      </c>
      <c r="X12" s="70" t="s">
        <v>46</v>
      </c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97"/>
      <c r="AW12" s="76">
        <f t="shared" si="3"/>
        <v>3.5</v>
      </c>
      <c r="AX12" s="77">
        <f t="shared" si="4"/>
        <v>0</v>
      </c>
      <c r="AY12" s="77">
        <f t="shared" si="5"/>
        <v>3</v>
      </c>
    </row>
    <row r="13" spans="1:51" ht="16.5" customHeight="1">
      <c r="A13" s="144" t="s">
        <v>63</v>
      </c>
      <c r="B13" s="150" t="s">
        <v>64</v>
      </c>
      <c r="C13" s="108"/>
      <c r="D13" s="108" t="s">
        <v>234</v>
      </c>
      <c r="E13" s="108" t="s">
        <v>46</v>
      </c>
      <c r="F13" s="108" t="s">
        <v>46</v>
      </c>
      <c r="G13" s="108" t="s">
        <v>46</v>
      </c>
      <c r="H13" s="108" t="s">
        <v>46</v>
      </c>
      <c r="I13" s="108" t="s">
        <v>46</v>
      </c>
      <c r="J13" s="108" t="s">
        <v>46</v>
      </c>
      <c r="K13" s="486">
        <v>2</v>
      </c>
      <c r="L13" s="108"/>
      <c r="M13" s="108" t="s">
        <v>46</v>
      </c>
      <c r="N13" s="108"/>
      <c r="O13" s="108"/>
      <c r="P13" s="108"/>
      <c r="Q13" s="352" t="s">
        <v>46</v>
      </c>
      <c r="R13" s="108" t="s">
        <v>234</v>
      </c>
      <c r="S13" s="492">
        <v>2</v>
      </c>
      <c r="T13" s="96" t="s">
        <v>46</v>
      </c>
      <c r="U13" s="96" t="s">
        <v>46</v>
      </c>
      <c r="V13" s="96" t="s">
        <v>234</v>
      </c>
      <c r="W13" s="96" t="s">
        <v>234</v>
      </c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238"/>
      <c r="AM13" s="96"/>
      <c r="AN13" s="96"/>
      <c r="AO13" s="96"/>
      <c r="AP13" s="96"/>
      <c r="AQ13" s="96"/>
      <c r="AR13" s="96"/>
      <c r="AS13" s="96"/>
      <c r="AT13" s="96"/>
      <c r="AU13" s="96"/>
      <c r="AV13" s="412"/>
      <c r="AW13" s="76">
        <f t="shared" si="3"/>
        <v>2</v>
      </c>
      <c r="AX13" s="77">
        <f t="shared" si="4"/>
        <v>0</v>
      </c>
      <c r="AY13" s="77">
        <f t="shared" si="5"/>
        <v>10</v>
      </c>
    </row>
    <row r="14" spans="1:51" ht="16.5" customHeight="1">
      <c r="A14" s="146" t="s">
        <v>65</v>
      </c>
      <c r="B14" s="151" t="s">
        <v>66</v>
      </c>
      <c r="C14" s="101"/>
      <c r="D14" s="101"/>
      <c r="E14" s="101"/>
      <c r="F14" s="101" t="s">
        <v>46</v>
      </c>
      <c r="G14" s="101" t="s">
        <v>46</v>
      </c>
      <c r="H14" s="101" t="s">
        <v>46</v>
      </c>
      <c r="I14" s="101"/>
      <c r="J14" s="101"/>
      <c r="K14" s="493">
        <v>2</v>
      </c>
      <c r="L14" s="101"/>
      <c r="M14" s="101"/>
      <c r="N14" s="101"/>
      <c r="O14" s="101"/>
      <c r="P14" s="101"/>
      <c r="Q14" s="494"/>
      <c r="R14" s="101"/>
      <c r="S14" s="339">
        <v>2</v>
      </c>
      <c r="T14" s="103" t="s">
        <v>46</v>
      </c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7"/>
      <c r="AW14" s="76">
        <f t="shared" si="3"/>
        <v>2</v>
      </c>
      <c r="AX14" s="77">
        <f t="shared" si="4"/>
        <v>0</v>
      </c>
      <c r="AY14" s="77">
        <f t="shared" si="5"/>
        <v>4</v>
      </c>
    </row>
    <row r="15" spans="1:51" ht="16.5" customHeight="1">
      <c r="A15" s="149" t="s">
        <v>67</v>
      </c>
      <c r="B15" s="150" t="s">
        <v>68</v>
      </c>
      <c r="C15" s="108"/>
      <c r="D15" s="108"/>
      <c r="E15" s="96" t="s">
        <v>48</v>
      </c>
      <c r="F15" s="108" t="s">
        <v>37</v>
      </c>
      <c r="G15" s="108"/>
      <c r="H15" s="108" t="s">
        <v>46</v>
      </c>
      <c r="I15" s="108"/>
      <c r="J15" s="108"/>
      <c r="K15" s="486">
        <v>4</v>
      </c>
      <c r="L15" s="108"/>
      <c r="M15" s="108"/>
      <c r="N15" s="108"/>
      <c r="O15" s="108"/>
      <c r="P15" s="108"/>
      <c r="Q15" s="352"/>
      <c r="R15" s="108"/>
      <c r="S15" s="487">
        <v>5</v>
      </c>
      <c r="T15" s="96" t="s">
        <v>37</v>
      </c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412"/>
      <c r="AW15" s="76">
        <f t="shared" si="3"/>
        <v>4.5</v>
      </c>
      <c r="AX15" s="77">
        <f t="shared" si="4"/>
        <v>1</v>
      </c>
      <c r="AY15" s="77">
        <f t="shared" si="5"/>
        <v>1</v>
      </c>
    </row>
    <row r="16" spans="1:51" ht="16.5" customHeight="1">
      <c r="A16" s="144" t="s">
        <v>69</v>
      </c>
      <c r="B16" s="137" t="s">
        <v>70</v>
      </c>
      <c r="C16" s="74"/>
      <c r="D16" s="74"/>
      <c r="E16" s="74"/>
      <c r="F16" s="74" t="s">
        <v>37</v>
      </c>
      <c r="G16" s="74"/>
      <c r="H16" s="74" t="s">
        <v>46</v>
      </c>
      <c r="I16" s="70" t="s">
        <v>48</v>
      </c>
      <c r="J16" s="70" t="s">
        <v>48</v>
      </c>
      <c r="K16" s="138">
        <v>4</v>
      </c>
      <c r="L16" s="70" t="s">
        <v>48</v>
      </c>
      <c r="M16" s="70" t="s">
        <v>48</v>
      </c>
      <c r="N16" s="74" t="s">
        <v>46</v>
      </c>
      <c r="O16" s="74"/>
      <c r="P16" s="74"/>
      <c r="Q16" s="483"/>
      <c r="R16" s="74"/>
      <c r="S16" s="345">
        <v>4</v>
      </c>
      <c r="T16" s="70" t="s">
        <v>37</v>
      </c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97"/>
      <c r="AW16" s="76">
        <f t="shared" si="3"/>
        <v>4</v>
      </c>
      <c r="AX16" s="77">
        <f t="shared" si="4"/>
        <v>4</v>
      </c>
      <c r="AY16" s="77">
        <f t="shared" si="5"/>
        <v>2</v>
      </c>
    </row>
    <row r="17" spans="1:51" ht="16.5" customHeight="1">
      <c r="A17" s="144" t="s">
        <v>71</v>
      </c>
      <c r="B17" s="137" t="s">
        <v>72</v>
      </c>
      <c r="C17" s="74" t="s">
        <v>46</v>
      </c>
      <c r="D17" s="74"/>
      <c r="E17" s="74"/>
      <c r="F17" s="74" t="s">
        <v>46</v>
      </c>
      <c r="G17" s="74" t="s">
        <v>46</v>
      </c>
      <c r="H17" s="74" t="s">
        <v>46</v>
      </c>
      <c r="I17" s="74" t="s">
        <v>46</v>
      </c>
      <c r="J17" s="74" t="s">
        <v>46</v>
      </c>
      <c r="K17" s="482">
        <v>2</v>
      </c>
      <c r="L17" s="74"/>
      <c r="M17" s="74" t="s">
        <v>46</v>
      </c>
      <c r="N17" s="74" t="s">
        <v>46</v>
      </c>
      <c r="O17" s="74"/>
      <c r="P17" s="74"/>
      <c r="Q17" s="483" t="s">
        <v>46</v>
      </c>
      <c r="R17" s="74" t="s">
        <v>234</v>
      </c>
      <c r="S17" s="491">
        <v>5</v>
      </c>
      <c r="T17" s="70" t="s">
        <v>46</v>
      </c>
      <c r="U17" s="70"/>
      <c r="V17" s="70"/>
      <c r="W17" s="70" t="s">
        <v>46</v>
      </c>
      <c r="X17" s="70" t="s">
        <v>46</v>
      </c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97"/>
      <c r="AW17" s="76">
        <f t="shared" si="3"/>
        <v>3.5</v>
      </c>
      <c r="AX17" s="77">
        <f t="shared" si="4"/>
        <v>0</v>
      </c>
      <c r="AY17" s="77">
        <f t="shared" si="5"/>
        <v>12</v>
      </c>
    </row>
    <row r="18" spans="1:51" ht="16.5" customHeight="1">
      <c r="A18" s="144" t="s">
        <v>73</v>
      </c>
      <c r="B18" s="150" t="s">
        <v>74</v>
      </c>
      <c r="C18" s="108"/>
      <c r="D18" s="108"/>
      <c r="E18" s="108"/>
      <c r="F18" s="70" t="s">
        <v>46</v>
      </c>
      <c r="G18" s="108"/>
      <c r="H18" s="108"/>
      <c r="I18" s="108"/>
      <c r="J18" s="108"/>
      <c r="K18" s="486">
        <v>5</v>
      </c>
      <c r="L18" s="108"/>
      <c r="M18" s="108"/>
      <c r="N18" s="108"/>
      <c r="O18" s="108"/>
      <c r="P18" s="108"/>
      <c r="Q18" s="352"/>
      <c r="R18" s="108"/>
      <c r="S18" s="487">
        <v>5</v>
      </c>
      <c r="T18" s="96" t="s">
        <v>46</v>
      </c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412"/>
      <c r="AW18" s="76">
        <f t="shared" si="3"/>
        <v>5</v>
      </c>
      <c r="AX18" s="77">
        <f t="shared" si="4"/>
        <v>0</v>
      </c>
      <c r="AY18" s="77">
        <f t="shared" si="5"/>
        <v>2</v>
      </c>
    </row>
    <row r="19" spans="1:51" ht="16.5" customHeight="1">
      <c r="A19" s="146" t="s">
        <v>75</v>
      </c>
      <c r="B19" s="151" t="s">
        <v>76</v>
      </c>
      <c r="C19" s="101"/>
      <c r="D19" s="101"/>
      <c r="E19" s="101"/>
      <c r="F19" s="495" t="s">
        <v>48</v>
      </c>
      <c r="G19" s="101"/>
      <c r="H19" s="101"/>
      <c r="I19" s="101"/>
      <c r="J19" s="101"/>
      <c r="K19" s="493">
        <v>5</v>
      </c>
      <c r="L19" s="101"/>
      <c r="M19" s="101"/>
      <c r="N19" s="101"/>
      <c r="O19" s="101"/>
      <c r="P19" s="101"/>
      <c r="Q19" s="494"/>
      <c r="R19" s="101"/>
      <c r="S19" s="339">
        <v>3</v>
      </c>
      <c r="T19" s="103" t="s">
        <v>37</v>
      </c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7"/>
      <c r="AW19" s="76">
        <f t="shared" si="3"/>
        <v>4</v>
      </c>
      <c r="AX19" s="77">
        <f t="shared" si="4"/>
        <v>1</v>
      </c>
      <c r="AY19" s="77">
        <f t="shared" si="5"/>
        <v>0</v>
      </c>
    </row>
    <row r="20" spans="1:51" ht="16.5" customHeight="1">
      <c r="A20" s="149" t="s">
        <v>77</v>
      </c>
      <c r="B20" s="150" t="s">
        <v>78</v>
      </c>
      <c r="C20" s="108"/>
      <c r="D20" s="108"/>
      <c r="E20" s="108"/>
      <c r="F20" s="108" t="s">
        <v>37</v>
      </c>
      <c r="G20" s="108"/>
      <c r="H20" s="108"/>
      <c r="I20" s="108"/>
      <c r="J20" s="108"/>
      <c r="K20" s="486">
        <v>4</v>
      </c>
      <c r="L20" s="108" t="s">
        <v>46</v>
      </c>
      <c r="M20" s="108" t="s">
        <v>46</v>
      </c>
      <c r="N20" s="108"/>
      <c r="O20" s="108"/>
      <c r="P20" s="108"/>
      <c r="Q20" s="352" t="s">
        <v>46</v>
      </c>
      <c r="R20" s="108"/>
      <c r="S20" s="496">
        <v>3</v>
      </c>
      <c r="T20" s="96" t="s">
        <v>37</v>
      </c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412"/>
      <c r="AW20" s="76">
        <f t="shared" si="3"/>
        <v>3.5</v>
      </c>
      <c r="AX20" s="77">
        <f t="shared" si="4"/>
        <v>0</v>
      </c>
      <c r="AY20" s="77">
        <f t="shared" si="5"/>
        <v>3</v>
      </c>
    </row>
    <row r="21" spans="1:51" ht="16.5" customHeight="1">
      <c r="A21" s="144" t="s">
        <v>79</v>
      </c>
      <c r="B21" s="137" t="s">
        <v>80</v>
      </c>
      <c r="C21" s="74"/>
      <c r="D21" s="74"/>
      <c r="E21" s="74"/>
      <c r="F21" s="74" t="s">
        <v>37</v>
      </c>
      <c r="G21" s="74"/>
      <c r="H21" s="74"/>
      <c r="I21" s="74"/>
      <c r="J21" s="74"/>
      <c r="K21" s="482">
        <v>5</v>
      </c>
      <c r="L21" s="74"/>
      <c r="M21" s="74"/>
      <c r="N21" s="74"/>
      <c r="O21" s="74"/>
      <c r="P21" s="74"/>
      <c r="Q21" s="483"/>
      <c r="R21" s="74" t="s">
        <v>234</v>
      </c>
      <c r="S21" s="491">
        <v>3</v>
      </c>
      <c r="T21" s="70" t="s">
        <v>37</v>
      </c>
      <c r="U21" s="70"/>
      <c r="V21" s="70"/>
      <c r="W21" s="70" t="s">
        <v>46</v>
      </c>
      <c r="X21" s="70" t="s">
        <v>46</v>
      </c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97"/>
      <c r="AW21" s="76">
        <f t="shared" si="3"/>
        <v>4</v>
      </c>
      <c r="AX21" s="77">
        <f t="shared" si="4"/>
        <v>0</v>
      </c>
      <c r="AY21" s="77">
        <f t="shared" si="5"/>
        <v>2</v>
      </c>
    </row>
    <row r="22" spans="1:51" ht="16.5" customHeight="1">
      <c r="A22" s="144" t="s">
        <v>81</v>
      </c>
      <c r="B22" s="137" t="s">
        <v>82</v>
      </c>
      <c r="C22" s="74"/>
      <c r="D22" s="74"/>
      <c r="E22" s="74"/>
      <c r="F22" s="74" t="s">
        <v>37</v>
      </c>
      <c r="G22" s="74"/>
      <c r="H22" s="74"/>
      <c r="I22" s="74"/>
      <c r="J22" s="74"/>
      <c r="K22" s="482">
        <v>5</v>
      </c>
      <c r="L22" s="74"/>
      <c r="M22" s="74"/>
      <c r="N22" s="74"/>
      <c r="O22" s="74" t="s">
        <v>46</v>
      </c>
      <c r="P22" s="74" t="s">
        <v>46</v>
      </c>
      <c r="Q22" s="483"/>
      <c r="R22" s="74"/>
      <c r="S22" s="491">
        <v>5</v>
      </c>
      <c r="T22" s="70" t="s">
        <v>37</v>
      </c>
      <c r="U22" s="70" t="s">
        <v>46</v>
      </c>
      <c r="V22" s="70"/>
      <c r="W22" s="70" t="s">
        <v>46</v>
      </c>
      <c r="X22" s="70" t="s">
        <v>46</v>
      </c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97"/>
      <c r="AW22" s="76">
        <f t="shared" si="3"/>
        <v>5</v>
      </c>
      <c r="AX22" s="77">
        <f t="shared" si="4"/>
        <v>0</v>
      </c>
      <c r="AY22" s="77">
        <f t="shared" si="5"/>
        <v>5</v>
      </c>
    </row>
    <row r="23" spans="1:51" ht="16.5" customHeight="1">
      <c r="A23" s="144" t="s">
        <v>83</v>
      </c>
      <c r="B23" s="150" t="s">
        <v>84</v>
      </c>
      <c r="C23" s="108" t="s">
        <v>46</v>
      </c>
      <c r="D23" s="108"/>
      <c r="E23" s="153" t="s">
        <v>48</v>
      </c>
      <c r="F23" s="108" t="s">
        <v>37</v>
      </c>
      <c r="G23" s="108" t="s">
        <v>46</v>
      </c>
      <c r="H23" s="108" t="s">
        <v>46</v>
      </c>
      <c r="I23" s="108" t="s">
        <v>46</v>
      </c>
      <c r="J23" s="108" t="s">
        <v>46</v>
      </c>
      <c r="K23" s="486">
        <v>3</v>
      </c>
      <c r="L23" s="108" t="s">
        <v>46</v>
      </c>
      <c r="M23" s="108" t="s">
        <v>46</v>
      </c>
      <c r="N23" s="108" t="s">
        <v>46</v>
      </c>
      <c r="O23" s="108"/>
      <c r="P23" s="108"/>
      <c r="Q23" s="352" t="s">
        <v>46</v>
      </c>
      <c r="R23" s="108"/>
      <c r="S23" s="487">
        <v>5</v>
      </c>
      <c r="T23" s="96" t="s">
        <v>46</v>
      </c>
      <c r="U23" s="96"/>
      <c r="V23" s="96"/>
      <c r="W23" s="96" t="s">
        <v>46</v>
      </c>
      <c r="X23" s="96" t="s">
        <v>46</v>
      </c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412"/>
      <c r="AW23" s="76">
        <f t="shared" si="3"/>
        <v>4</v>
      </c>
      <c r="AX23" s="77">
        <f t="shared" si="4"/>
        <v>1</v>
      </c>
      <c r="AY23" s="77">
        <f t="shared" si="5"/>
        <v>12</v>
      </c>
    </row>
    <row r="24" spans="1:51" ht="16.5" customHeight="1">
      <c r="A24" s="154" t="s">
        <v>27</v>
      </c>
      <c r="B24" s="151" t="s">
        <v>85</v>
      </c>
      <c r="C24" s="101"/>
      <c r="D24" s="101"/>
      <c r="E24" s="101"/>
      <c r="F24" s="101" t="s">
        <v>37</v>
      </c>
      <c r="G24" s="101"/>
      <c r="H24" s="101"/>
      <c r="I24" s="101"/>
      <c r="J24" s="101"/>
      <c r="K24" s="493">
        <v>5</v>
      </c>
      <c r="L24" s="101"/>
      <c r="M24" s="101"/>
      <c r="N24" s="101"/>
      <c r="O24" s="101"/>
      <c r="P24" s="115"/>
      <c r="Q24" s="497"/>
      <c r="R24" s="101"/>
      <c r="S24" s="498">
        <v>5</v>
      </c>
      <c r="T24" s="103" t="s">
        <v>37</v>
      </c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7"/>
      <c r="AW24" s="76">
        <f t="shared" si="3"/>
        <v>5</v>
      </c>
      <c r="AX24" s="77">
        <f t="shared" si="4"/>
        <v>0</v>
      </c>
      <c r="AY24" s="77">
        <f t="shared" si="5"/>
        <v>0</v>
      </c>
    </row>
    <row r="25" spans="1:51" ht="16.5" customHeight="1">
      <c r="A25" s="156" t="s">
        <v>86</v>
      </c>
      <c r="B25" s="150" t="s">
        <v>87</v>
      </c>
      <c r="C25" s="108"/>
      <c r="D25" s="108"/>
      <c r="E25" s="108" t="s">
        <v>46</v>
      </c>
      <c r="F25" s="108" t="s">
        <v>46</v>
      </c>
      <c r="G25" s="108" t="s">
        <v>46</v>
      </c>
      <c r="H25" s="108" t="s">
        <v>46</v>
      </c>
      <c r="I25" s="108" t="s">
        <v>46</v>
      </c>
      <c r="J25" s="108" t="s">
        <v>46</v>
      </c>
      <c r="K25" s="486" t="s">
        <v>46</v>
      </c>
      <c r="L25" s="108" t="s">
        <v>46</v>
      </c>
      <c r="M25" s="485" t="s">
        <v>46</v>
      </c>
      <c r="N25" s="157" t="s">
        <v>48</v>
      </c>
      <c r="O25" s="157" t="s">
        <v>48</v>
      </c>
      <c r="P25" s="157" t="s">
        <v>48</v>
      </c>
      <c r="Q25" s="352" t="s">
        <v>46</v>
      </c>
      <c r="R25" s="108" t="s">
        <v>234</v>
      </c>
      <c r="S25" s="492">
        <v>2</v>
      </c>
      <c r="T25" s="96" t="s">
        <v>46</v>
      </c>
      <c r="U25" s="96" t="s">
        <v>46</v>
      </c>
      <c r="V25" s="96" t="s">
        <v>234</v>
      </c>
      <c r="W25" s="96" t="s">
        <v>46</v>
      </c>
      <c r="X25" s="96" t="s">
        <v>46</v>
      </c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412"/>
      <c r="AW25" s="76">
        <f t="shared" si="3"/>
        <v>2</v>
      </c>
      <c r="AX25" s="77">
        <f t="shared" si="4"/>
        <v>3</v>
      </c>
      <c r="AY25" s="77">
        <f t="shared" si="5"/>
        <v>14</v>
      </c>
    </row>
    <row r="26" spans="1:51" ht="16.5" hidden="1" customHeight="1">
      <c r="A26" s="139" t="s">
        <v>86</v>
      </c>
      <c r="B26" s="137" t="s">
        <v>88</v>
      </c>
      <c r="C26" s="74"/>
      <c r="D26" s="74"/>
      <c r="E26" s="74"/>
      <c r="F26" s="74"/>
      <c r="G26" s="95"/>
      <c r="H26" s="95"/>
      <c r="I26" s="74"/>
      <c r="J26" s="74"/>
      <c r="K26" s="482"/>
      <c r="L26" s="74"/>
      <c r="M26" s="74"/>
      <c r="N26" s="108"/>
      <c r="O26" s="108"/>
      <c r="P26" s="108"/>
      <c r="Q26" s="483"/>
      <c r="R26" s="74"/>
      <c r="S26" s="491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97"/>
      <c r="AW26" s="76" t="str">
        <f t="shared" si="3"/>
        <v>Нет оценок</v>
      </c>
      <c r="AX26" s="77">
        <f t="shared" si="4"/>
        <v>0</v>
      </c>
      <c r="AY26" s="77">
        <f t="shared" si="5"/>
        <v>0</v>
      </c>
    </row>
    <row r="27" spans="1:51" ht="16.5" customHeight="1">
      <c r="A27" s="139" t="s">
        <v>89</v>
      </c>
      <c r="B27" s="137" t="s">
        <v>90</v>
      </c>
      <c r="C27" s="95"/>
      <c r="D27" s="95"/>
      <c r="E27" s="95"/>
      <c r="F27" s="499" t="s">
        <v>37</v>
      </c>
      <c r="G27" s="110" t="s">
        <v>48</v>
      </c>
      <c r="H27" s="110" t="s">
        <v>48</v>
      </c>
      <c r="I27" s="95"/>
      <c r="J27" s="95"/>
      <c r="K27" s="500">
        <v>4</v>
      </c>
      <c r="L27" s="95"/>
      <c r="M27" s="95"/>
      <c r="N27" s="95" t="s">
        <v>46</v>
      </c>
      <c r="O27" s="95"/>
      <c r="P27" s="95"/>
      <c r="Q27" s="501"/>
      <c r="R27" s="95"/>
      <c r="S27" s="502">
        <v>2</v>
      </c>
      <c r="T27" s="73" t="s">
        <v>37</v>
      </c>
      <c r="U27" s="73"/>
      <c r="V27" s="73"/>
      <c r="W27" s="73" t="s">
        <v>46</v>
      </c>
      <c r="X27" s="73" t="s">
        <v>46</v>
      </c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125"/>
      <c r="AW27" s="76">
        <f t="shared" si="3"/>
        <v>3</v>
      </c>
      <c r="AX27" s="77">
        <f t="shared" si="4"/>
        <v>2</v>
      </c>
      <c r="AY27" s="77">
        <f t="shared" si="5"/>
        <v>3</v>
      </c>
    </row>
    <row r="28" spans="1:51" ht="17.25" customHeight="1">
      <c r="A28" s="139" t="s">
        <v>91</v>
      </c>
      <c r="B28" s="137" t="s">
        <v>92</v>
      </c>
      <c r="C28" s="74"/>
      <c r="D28" s="70"/>
      <c r="E28" s="62" t="s">
        <v>46</v>
      </c>
      <c r="F28" s="70" t="s">
        <v>48</v>
      </c>
      <c r="G28" s="96"/>
      <c r="H28" s="96" t="s">
        <v>46</v>
      </c>
      <c r="I28" s="70"/>
      <c r="J28" s="70"/>
      <c r="K28" s="138"/>
      <c r="L28" s="70" t="s">
        <v>46</v>
      </c>
      <c r="M28" s="70" t="s">
        <v>46</v>
      </c>
      <c r="N28" s="70" t="s">
        <v>304</v>
      </c>
      <c r="O28" s="70"/>
      <c r="P28" s="70"/>
      <c r="Q28" s="349"/>
      <c r="R28" s="70" t="s">
        <v>234</v>
      </c>
      <c r="S28" s="491">
        <v>5</v>
      </c>
      <c r="T28" s="70" t="s">
        <v>46</v>
      </c>
      <c r="U28" s="70"/>
      <c r="V28" s="70"/>
      <c r="W28" s="70" t="s">
        <v>234</v>
      </c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97"/>
      <c r="AW28" s="76">
        <f t="shared" si="3"/>
        <v>5</v>
      </c>
      <c r="AX28" s="77">
        <f t="shared" si="4"/>
        <v>1</v>
      </c>
      <c r="AY28" s="77">
        <f t="shared" si="5"/>
        <v>5</v>
      </c>
    </row>
    <row r="29" spans="1:51" ht="15.75">
      <c r="A29" s="165" t="s">
        <v>93</v>
      </c>
      <c r="B29" s="165" t="s">
        <v>94</v>
      </c>
      <c r="AW29" s="127">
        <f>IFERROR(AVERAGE(AW5:AW28),"")</f>
        <v>3.5869565217391304</v>
      </c>
      <c r="AX29" s="128">
        <f>SUM(AX5:AX28)</f>
        <v>15</v>
      </c>
      <c r="AY29" s="128">
        <f>SUM(AY5:AY28)</f>
        <v>114</v>
      </c>
    </row>
    <row r="30" spans="1:51">
      <c r="A30" s="372">
        <v>45911</v>
      </c>
      <c r="B30" s="166" t="s">
        <v>305</v>
      </c>
    </row>
    <row r="31" spans="1:51">
      <c r="A31" s="372">
        <v>45924</v>
      </c>
      <c r="B31" s="166" t="s">
        <v>306</v>
      </c>
    </row>
    <row r="32" spans="1:51">
      <c r="A32" s="372">
        <v>45924</v>
      </c>
      <c r="B32" s="166" t="s">
        <v>307</v>
      </c>
    </row>
    <row r="33" spans="1:2">
      <c r="A33" s="503">
        <v>45952</v>
      </c>
      <c r="B33" s="166" t="s">
        <v>308</v>
      </c>
    </row>
    <row r="34" spans="1:2">
      <c r="A34" s="503">
        <v>45955</v>
      </c>
      <c r="B34" s="166" t="s">
        <v>309</v>
      </c>
    </row>
    <row r="35" spans="1:2">
      <c r="A35" s="503">
        <v>45961</v>
      </c>
      <c r="B35" s="166" t="s">
        <v>310</v>
      </c>
    </row>
    <row r="36" spans="1:2">
      <c r="A36" s="372">
        <v>45983</v>
      </c>
      <c r="B36" s="166" t="s">
        <v>311</v>
      </c>
    </row>
    <row r="37" spans="1:2">
      <c r="A37" s="372">
        <v>45983</v>
      </c>
      <c r="B37" s="166" t="s">
        <v>312</v>
      </c>
    </row>
    <row r="38" spans="1:2">
      <c r="A38" s="504">
        <v>45986</v>
      </c>
      <c r="B38" s="505" t="s">
        <v>309</v>
      </c>
    </row>
    <row r="39" spans="1:2">
      <c r="A39" s="372">
        <v>45987</v>
      </c>
      <c r="B39" s="166" t="s">
        <v>313</v>
      </c>
    </row>
    <row r="40" spans="1:2">
      <c r="A40" s="372">
        <v>45987</v>
      </c>
      <c r="B40" s="166" t="s">
        <v>313</v>
      </c>
    </row>
    <row r="41" spans="1:2">
      <c r="A41" s="372">
        <v>45992</v>
      </c>
      <c r="B41" s="166" t="s">
        <v>313</v>
      </c>
    </row>
    <row r="42" spans="1:2">
      <c r="A42" s="372">
        <v>45997</v>
      </c>
      <c r="B42" s="166" t="s">
        <v>313</v>
      </c>
    </row>
    <row r="43" spans="1:2">
      <c r="A43" s="372">
        <v>45997</v>
      </c>
      <c r="B43" s="166" t="s">
        <v>313</v>
      </c>
    </row>
    <row r="44" spans="1:2">
      <c r="A44" s="372">
        <v>46004</v>
      </c>
      <c r="B44" s="166" t="s">
        <v>312</v>
      </c>
    </row>
    <row r="45" spans="1:2">
      <c r="A45" s="372">
        <v>46006</v>
      </c>
      <c r="B45" s="166" t="s">
        <v>314</v>
      </c>
    </row>
    <row r="46" spans="1:2">
      <c r="A46" s="506">
        <v>46006</v>
      </c>
      <c r="B46" s="507" t="s">
        <v>258</v>
      </c>
    </row>
    <row r="47" spans="1:2">
      <c r="A47" s="372">
        <v>46011</v>
      </c>
      <c r="B47" s="166" t="s">
        <v>315</v>
      </c>
    </row>
    <row r="48" spans="1:2" ht="15.75">
      <c r="A48" s="372">
        <v>46066</v>
      </c>
      <c r="B48" s="447" t="s">
        <v>316</v>
      </c>
    </row>
    <row r="49" spans="1:2">
      <c r="A49" s="372">
        <v>46080</v>
      </c>
      <c r="B49" s="166" t="s">
        <v>317</v>
      </c>
    </row>
    <row r="50" spans="1:2">
      <c r="A50" s="372">
        <v>46095</v>
      </c>
      <c r="B50" s="166" t="s">
        <v>318</v>
      </c>
    </row>
    <row r="51" spans="1:2">
      <c r="A51" s="372">
        <v>46095</v>
      </c>
      <c r="B51" s="166" t="s">
        <v>319</v>
      </c>
    </row>
    <row r="52" spans="1:2">
      <c r="A52" s="166"/>
      <c r="B52" s="166"/>
    </row>
    <row r="53" spans="1:2">
      <c r="A53" s="166"/>
      <c r="B53" s="166"/>
    </row>
    <row r="54" spans="1:2">
      <c r="A54" s="166"/>
      <c r="B54" s="166"/>
    </row>
    <row r="55" spans="1:2">
      <c r="A55" s="166"/>
      <c r="B55" s="166"/>
    </row>
    <row r="56" spans="1:2">
      <c r="A56" s="166"/>
      <c r="B56" s="166"/>
    </row>
    <row r="57" spans="1:2">
      <c r="A57" s="166"/>
      <c r="B57" s="166"/>
    </row>
    <row r="58" spans="1:2">
      <c r="A58" s="166"/>
      <c r="B58" s="166"/>
    </row>
    <row r="59" spans="1:2">
      <c r="A59" s="166"/>
      <c r="B59" s="166"/>
    </row>
    <row r="60" spans="1:2">
      <c r="A60" s="166"/>
      <c r="B60" s="166"/>
    </row>
    <row r="61" spans="1:2">
      <c r="A61" s="166"/>
      <c r="B61" s="166"/>
    </row>
    <row r="62" spans="1:2">
      <c r="A62" s="166"/>
      <c r="B62" s="166"/>
    </row>
    <row r="63" spans="1:2">
      <c r="A63" s="166"/>
      <c r="B63" s="166"/>
    </row>
    <row r="64" spans="1:2">
      <c r="A64" s="166"/>
      <c r="B64" s="166"/>
    </row>
    <row r="65" spans="1:2">
      <c r="A65" s="166"/>
      <c r="B65" s="166"/>
    </row>
    <row r="66" spans="1:2">
      <c r="A66" s="166"/>
      <c r="B66" s="166"/>
    </row>
  </sheetData>
  <mergeCells count="6">
    <mergeCell ref="AX3:AY3"/>
    <mergeCell ref="A1:B1"/>
    <mergeCell ref="C1:AU1"/>
    <mergeCell ref="A2:B2"/>
    <mergeCell ref="C2:AU2"/>
    <mergeCell ref="A3:A4"/>
  </mergeCells>
  <conditionalFormatting sqref="AY5:AY28">
    <cfRule type="cellIs" dxfId="62" priority="2" operator="greaterThan">
      <formula>0</formula>
    </cfRule>
  </conditionalFormatting>
  <conditionalFormatting sqref="AW5:AW29">
    <cfRule type="cellIs" dxfId="61" priority="1" operator="lessThan">
      <formula>3</formula>
    </cfRule>
  </conditionalFormatting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F99"/>
  <sheetViews>
    <sheetView zoomScaleNormal="100" workbookViewId="0">
      <pane xSplit="3" ySplit="2" topLeftCell="D3" activePane="bottomRight" state="frozen"/>
      <selection activeCell="C3" sqref="C3"/>
      <selection pane="topRight"/>
      <selection pane="bottomLeft"/>
      <selection pane="bottomRight" activeCell="D3" sqref="D3"/>
    </sheetView>
  </sheetViews>
  <sheetFormatPr defaultColWidth="11.5546875" defaultRowHeight="15"/>
  <cols>
    <col min="1" max="1" width="7.77734375" customWidth="1"/>
    <col min="2" max="2" width="34.44140625" customWidth="1"/>
    <col min="3" max="80" width="2.77734375" customWidth="1"/>
    <col min="81" max="81" width="6.33203125" customWidth="1"/>
    <col min="82" max="82" width="10.6640625" customWidth="1"/>
    <col min="83" max="84" width="8.109375" customWidth="1"/>
  </cols>
  <sheetData>
    <row r="1" spans="1:84" ht="27.75">
      <c r="A1" s="1277" t="s">
        <v>38</v>
      </c>
      <c r="B1" s="1277"/>
      <c r="C1" s="1276" t="s">
        <v>14</v>
      </c>
      <c r="D1" s="1276"/>
      <c r="E1" s="1276"/>
      <c r="F1" s="1276"/>
      <c r="G1" s="1276"/>
      <c r="H1" s="1276"/>
      <c r="I1" s="1276"/>
      <c r="J1" s="1276"/>
      <c r="K1" s="1276"/>
      <c r="L1" s="1276"/>
      <c r="M1" s="1276"/>
      <c r="N1" s="1276"/>
      <c r="O1" s="1276"/>
      <c r="P1" s="1276"/>
      <c r="Q1" s="1276"/>
      <c r="R1" s="1276"/>
      <c r="S1" s="1276"/>
      <c r="T1" s="1276"/>
      <c r="U1" s="1276"/>
      <c r="V1" s="1276"/>
      <c r="W1" s="1276"/>
      <c r="X1" s="1276"/>
      <c r="Y1" s="1276"/>
      <c r="Z1" s="1276"/>
      <c r="AA1" s="1276"/>
      <c r="AB1" s="1276"/>
      <c r="AC1" s="1276"/>
      <c r="AD1" s="1276"/>
      <c r="AE1" s="1276"/>
      <c r="AF1" s="1276"/>
      <c r="AG1" s="1276"/>
      <c r="AH1" s="1276"/>
      <c r="AI1" s="1276"/>
      <c r="AJ1" s="1276"/>
      <c r="AK1" s="1276"/>
      <c r="AL1" s="1276"/>
      <c r="AM1" s="1276"/>
      <c r="AN1" s="1276"/>
      <c r="AO1" s="1276"/>
      <c r="AP1" s="1276"/>
      <c r="AQ1" s="1276"/>
      <c r="AR1" s="1276"/>
      <c r="AS1" s="1276"/>
      <c r="AT1" s="1276"/>
      <c r="AU1" s="1276"/>
      <c r="AV1" s="1276"/>
      <c r="AW1" s="1276"/>
      <c r="AX1" s="1276"/>
      <c r="AY1" s="1276"/>
      <c r="AZ1" s="1276"/>
      <c r="BA1" s="1276"/>
      <c r="BB1" s="1276"/>
      <c r="BC1" s="1276"/>
      <c r="BD1" s="1276"/>
      <c r="BE1" s="1276"/>
      <c r="BF1" s="1276"/>
      <c r="BG1" s="1276"/>
      <c r="BH1" s="1276"/>
      <c r="BI1" s="1276"/>
      <c r="BJ1" s="1276"/>
      <c r="BK1" s="1276"/>
      <c r="BL1" s="1276"/>
      <c r="BM1" s="1276"/>
      <c r="BN1" s="1276"/>
      <c r="BO1" s="1276"/>
      <c r="BP1" s="1276"/>
      <c r="BQ1" s="1276"/>
      <c r="BR1" s="1276"/>
      <c r="BS1" s="1276"/>
      <c r="BT1" s="1276"/>
      <c r="BU1" s="1276"/>
      <c r="BV1" s="1276"/>
      <c r="BW1" s="1276"/>
      <c r="BX1" s="1276"/>
      <c r="BY1" s="1276"/>
      <c r="BZ1" s="1276"/>
      <c r="CA1" s="1276"/>
      <c r="CB1" s="1276"/>
      <c r="CC1" s="1276"/>
    </row>
    <row r="2" spans="1:84" ht="27.75">
      <c r="A2" s="1277" t="s">
        <v>39</v>
      </c>
      <c r="B2" s="1277"/>
      <c r="C2" s="1277" t="s">
        <v>320</v>
      </c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1277"/>
      <c r="AD2" s="1277"/>
      <c r="AE2" s="1277"/>
      <c r="AF2" s="1277"/>
      <c r="AG2" s="1277"/>
      <c r="AH2" s="1277"/>
      <c r="AI2" s="1277"/>
      <c r="AJ2" s="1277"/>
      <c r="AK2" s="1277"/>
      <c r="AL2" s="1277"/>
      <c r="AM2" s="1277"/>
      <c r="AN2" s="1277"/>
      <c r="AO2" s="1277"/>
      <c r="AP2" s="1277"/>
      <c r="AQ2" s="1277"/>
      <c r="AR2" s="1277"/>
      <c r="AS2" s="1277"/>
      <c r="AT2" s="1277"/>
      <c r="AU2" s="1277"/>
      <c r="AV2" s="1277"/>
      <c r="AW2" s="1277"/>
      <c r="AX2" s="1277"/>
      <c r="AY2" s="1277"/>
      <c r="AZ2" s="1277"/>
      <c r="BA2" s="1277"/>
      <c r="BB2" s="1277"/>
      <c r="BC2" s="1277"/>
      <c r="BD2" s="1277"/>
      <c r="BE2" s="1277"/>
      <c r="BF2" s="1277"/>
      <c r="BG2" s="1277"/>
      <c r="BH2" s="1277"/>
      <c r="BI2" s="1277"/>
      <c r="BJ2" s="1277"/>
      <c r="BK2" s="1277"/>
      <c r="BL2" s="1277"/>
      <c r="BM2" s="1277"/>
      <c r="BN2" s="1277"/>
      <c r="BO2" s="1277"/>
      <c r="BP2" s="1277"/>
      <c r="BQ2" s="1277"/>
      <c r="BR2" s="1277"/>
      <c r="BS2" s="1277"/>
      <c r="BT2" s="1277"/>
      <c r="BU2" s="1277"/>
      <c r="BV2" s="1277"/>
      <c r="BW2" s="1277"/>
      <c r="BX2" s="1277"/>
      <c r="BY2" s="1277"/>
      <c r="BZ2" s="1277"/>
      <c r="CA2" s="1277"/>
      <c r="CB2" s="1277"/>
      <c r="CC2" s="1277"/>
      <c r="CD2" s="32"/>
      <c r="CE2" s="32"/>
      <c r="CF2" s="32"/>
    </row>
    <row r="3" spans="1:84" ht="15.75">
      <c r="A3" s="1281" t="s">
        <v>41</v>
      </c>
      <c r="B3" s="129" t="s">
        <v>42</v>
      </c>
      <c r="C3" s="130">
        <v>9</v>
      </c>
      <c r="D3" s="43">
        <v>9</v>
      </c>
      <c r="E3" s="43">
        <v>9</v>
      </c>
      <c r="F3" s="43">
        <v>9</v>
      </c>
      <c r="G3" s="508">
        <v>9</v>
      </c>
      <c r="H3" s="508">
        <v>9</v>
      </c>
      <c r="I3" s="508">
        <v>9</v>
      </c>
      <c r="J3" s="508">
        <v>9</v>
      </c>
      <c r="K3" s="43">
        <v>9</v>
      </c>
      <c r="L3" s="509">
        <v>10</v>
      </c>
      <c r="M3" s="509">
        <v>10</v>
      </c>
      <c r="N3" s="509">
        <v>10</v>
      </c>
      <c r="O3" s="171">
        <v>10</v>
      </c>
      <c r="P3" s="510">
        <v>10</v>
      </c>
      <c r="Q3" s="171">
        <v>11</v>
      </c>
      <c r="R3" s="171">
        <v>11</v>
      </c>
      <c r="S3" s="511">
        <v>11</v>
      </c>
      <c r="T3" s="512">
        <v>11</v>
      </c>
      <c r="U3" s="511">
        <v>12</v>
      </c>
      <c r="V3" s="512">
        <v>1</v>
      </c>
      <c r="W3" s="513">
        <v>1</v>
      </c>
      <c r="X3" s="171">
        <v>2</v>
      </c>
      <c r="Y3" s="514">
        <v>2</v>
      </c>
      <c r="Z3" s="514">
        <v>3</v>
      </c>
      <c r="AA3" s="514">
        <v>3</v>
      </c>
      <c r="AB3" s="515"/>
      <c r="AC3" s="515"/>
      <c r="AD3" s="515"/>
      <c r="AE3" s="515"/>
      <c r="AF3" s="515"/>
      <c r="AG3" s="515"/>
      <c r="AH3" s="515"/>
      <c r="AI3" s="515"/>
      <c r="AJ3" s="515"/>
      <c r="AK3" s="515"/>
      <c r="AL3" s="515"/>
      <c r="AM3" s="515"/>
      <c r="AN3" s="515"/>
      <c r="AO3" s="515"/>
      <c r="AP3" s="515"/>
      <c r="AQ3" s="515"/>
      <c r="AR3" s="515"/>
      <c r="AS3" s="5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315"/>
      <c r="BY3" s="315"/>
      <c r="BZ3" s="315"/>
      <c r="CA3" s="315"/>
      <c r="CB3" s="315"/>
      <c r="CC3" s="44" t="s">
        <v>207</v>
      </c>
      <c r="CD3" s="45"/>
      <c r="CE3" s="1278" t="s">
        <v>0</v>
      </c>
      <c r="CF3" s="1279"/>
    </row>
    <row r="4" spans="1:84" ht="15.75">
      <c r="A4" s="1282"/>
      <c r="B4" s="132" t="s">
        <v>43</v>
      </c>
      <c r="C4" s="133">
        <v>8</v>
      </c>
      <c r="D4" s="58">
        <v>11</v>
      </c>
      <c r="E4" s="58">
        <v>12</v>
      </c>
      <c r="F4" s="58">
        <v>16</v>
      </c>
      <c r="G4" s="516">
        <v>19</v>
      </c>
      <c r="H4" s="516">
        <v>22</v>
      </c>
      <c r="I4" s="516">
        <v>24</v>
      </c>
      <c r="J4" s="516">
        <v>25</v>
      </c>
      <c r="K4" s="58">
        <v>25</v>
      </c>
      <c r="L4" s="517">
        <v>8</v>
      </c>
      <c r="M4" s="517">
        <v>21</v>
      </c>
      <c r="N4" s="517">
        <v>22</v>
      </c>
      <c r="O4" s="178">
        <v>22</v>
      </c>
      <c r="P4" s="518">
        <v>31</v>
      </c>
      <c r="Q4" s="178">
        <v>14</v>
      </c>
      <c r="R4" s="178">
        <v>14</v>
      </c>
      <c r="S4" s="519">
        <v>23</v>
      </c>
      <c r="T4" s="520">
        <v>27</v>
      </c>
      <c r="U4" s="519">
        <v>9</v>
      </c>
      <c r="V4" s="520">
        <v>19</v>
      </c>
      <c r="W4" s="521">
        <v>24</v>
      </c>
      <c r="X4" s="178">
        <v>19</v>
      </c>
      <c r="Y4" s="522">
        <v>25</v>
      </c>
      <c r="Z4" s="522">
        <v>3</v>
      </c>
      <c r="AA4" s="522">
        <v>6</v>
      </c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9" t="s">
        <v>225</v>
      </c>
      <c r="CD4" s="45" t="s">
        <v>33</v>
      </c>
      <c r="CE4" s="60" t="s">
        <v>5</v>
      </c>
      <c r="CF4" s="60" t="s">
        <v>6</v>
      </c>
    </row>
    <row r="5" spans="1:84" ht="16.5" customHeight="1">
      <c r="A5" s="136" t="s">
        <v>44</v>
      </c>
      <c r="B5" s="137" t="s">
        <v>45</v>
      </c>
      <c r="C5" s="74">
        <v>2</v>
      </c>
      <c r="D5" s="70">
        <v>2</v>
      </c>
      <c r="E5" s="70" t="s">
        <v>46</v>
      </c>
      <c r="F5" s="70">
        <v>2</v>
      </c>
      <c r="G5" s="523">
        <v>3</v>
      </c>
      <c r="H5" s="523">
        <v>3</v>
      </c>
      <c r="I5" s="523">
        <v>3</v>
      </c>
      <c r="J5" s="523">
        <v>3</v>
      </c>
      <c r="K5" s="70" t="s">
        <v>321</v>
      </c>
      <c r="L5" s="524" t="s">
        <v>46</v>
      </c>
      <c r="M5" s="524" t="s">
        <v>46</v>
      </c>
      <c r="N5" s="524"/>
      <c r="O5" s="70"/>
      <c r="P5" s="525" t="s">
        <v>46</v>
      </c>
      <c r="Q5" s="322" t="s">
        <v>46</v>
      </c>
      <c r="R5" s="327" t="s">
        <v>46</v>
      </c>
      <c r="S5" s="526">
        <v>2</v>
      </c>
      <c r="T5" s="527" t="s">
        <v>46</v>
      </c>
      <c r="U5" s="526" t="s">
        <v>46</v>
      </c>
      <c r="V5" s="523" t="s">
        <v>46</v>
      </c>
      <c r="W5" s="528" t="s">
        <v>46</v>
      </c>
      <c r="X5" s="70"/>
      <c r="Y5" s="529" t="s">
        <v>46</v>
      </c>
      <c r="Z5" s="529"/>
      <c r="AA5" s="529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5"/>
      <c r="CD5" s="76">
        <f t="shared" ref="CD5:CD9" si="0">IFERROR(AVERAGE(C5:CC5),"Нет оценок")</f>
        <v>2.5</v>
      </c>
      <c r="CE5" s="77">
        <f t="shared" ref="CE5:CE9" si="1">COUNTIF(C5:CC5,"н/у")</f>
        <v>0</v>
      </c>
      <c r="CF5" s="77">
        <f t="shared" ref="CF5:CF9" si="2">COUNTIF(C5:CC5,"н")</f>
        <v>11</v>
      </c>
    </row>
    <row r="6" spans="1:84" ht="16.5" customHeight="1">
      <c r="A6" s="139" t="s">
        <v>49</v>
      </c>
      <c r="B6" s="140" t="s">
        <v>50</v>
      </c>
      <c r="C6" s="108" t="s">
        <v>46</v>
      </c>
      <c r="D6" s="96">
        <v>3</v>
      </c>
      <c r="E6" s="96">
        <v>2</v>
      </c>
      <c r="F6" s="96">
        <v>2</v>
      </c>
      <c r="G6" s="527">
        <v>3</v>
      </c>
      <c r="H6" s="527" t="s">
        <v>321</v>
      </c>
      <c r="I6" s="527">
        <v>3</v>
      </c>
      <c r="J6" s="527">
        <v>3</v>
      </c>
      <c r="K6" s="96">
        <v>2</v>
      </c>
      <c r="L6" s="530"/>
      <c r="M6" s="531" t="s">
        <v>48</v>
      </c>
      <c r="N6" s="531" t="s">
        <v>48</v>
      </c>
      <c r="O6" s="532" t="s">
        <v>48</v>
      </c>
      <c r="P6" s="533" t="s">
        <v>46</v>
      </c>
      <c r="Q6" s="327"/>
      <c r="R6" s="327"/>
      <c r="S6" s="526">
        <v>3</v>
      </c>
      <c r="T6" s="527"/>
      <c r="U6" s="526">
        <v>3</v>
      </c>
      <c r="V6" s="527"/>
      <c r="W6" s="534" t="s">
        <v>46</v>
      </c>
      <c r="X6" s="96" t="s">
        <v>46</v>
      </c>
      <c r="Y6" s="535"/>
      <c r="Z6" s="535"/>
      <c r="AA6" s="535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396"/>
      <c r="CD6" s="76">
        <f t="shared" si="0"/>
        <v>2.6666666666666665</v>
      </c>
      <c r="CE6" s="77">
        <f t="shared" si="1"/>
        <v>3</v>
      </c>
      <c r="CF6" s="77">
        <f t="shared" si="2"/>
        <v>4</v>
      </c>
    </row>
    <row r="7" spans="1:84" ht="16.5" customHeight="1">
      <c r="A7" s="204" t="s">
        <v>51</v>
      </c>
      <c r="B7" s="137" t="s">
        <v>52</v>
      </c>
      <c r="C7" s="74">
        <v>3</v>
      </c>
      <c r="D7" s="70">
        <v>2</v>
      </c>
      <c r="E7" s="70">
        <v>2</v>
      </c>
      <c r="F7" s="70">
        <v>2</v>
      </c>
      <c r="G7" s="523">
        <v>3</v>
      </c>
      <c r="H7" s="523">
        <v>3</v>
      </c>
      <c r="I7" s="523">
        <v>3</v>
      </c>
      <c r="J7" s="523" t="s">
        <v>46</v>
      </c>
      <c r="K7" s="70" t="s">
        <v>46</v>
      </c>
      <c r="L7" s="524"/>
      <c r="M7" s="524" t="s">
        <v>46</v>
      </c>
      <c r="N7" s="524"/>
      <c r="O7" s="70"/>
      <c r="P7" s="525"/>
      <c r="Q7" s="322"/>
      <c r="R7" s="322"/>
      <c r="S7" s="536">
        <v>3</v>
      </c>
      <c r="T7" s="523"/>
      <c r="U7" s="346">
        <v>3</v>
      </c>
      <c r="V7" s="523"/>
      <c r="W7" s="528" t="s">
        <v>37</v>
      </c>
      <c r="X7" s="70"/>
      <c r="Y7" s="529"/>
      <c r="Z7" s="529"/>
      <c r="AA7" s="529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  <c r="CC7" s="75"/>
      <c r="CD7" s="76">
        <f t="shared" si="0"/>
        <v>2.6666666666666665</v>
      </c>
      <c r="CE7" s="77">
        <f t="shared" si="1"/>
        <v>0</v>
      </c>
      <c r="CF7" s="77">
        <f t="shared" si="2"/>
        <v>3</v>
      </c>
    </row>
    <row r="8" spans="1:84" ht="16.5" customHeight="1">
      <c r="A8" s="144" t="s">
        <v>53</v>
      </c>
      <c r="B8" s="137" t="s">
        <v>54</v>
      </c>
      <c r="C8" s="74" t="s">
        <v>46</v>
      </c>
      <c r="D8" s="70">
        <v>2</v>
      </c>
      <c r="E8" s="70">
        <v>2</v>
      </c>
      <c r="F8" s="70" t="s">
        <v>46</v>
      </c>
      <c r="G8" s="523" t="s">
        <v>46</v>
      </c>
      <c r="H8" s="523" t="s">
        <v>46</v>
      </c>
      <c r="I8" s="523">
        <v>3</v>
      </c>
      <c r="J8" s="523">
        <v>3</v>
      </c>
      <c r="K8" s="70">
        <v>2</v>
      </c>
      <c r="L8" s="524"/>
      <c r="M8" s="524" t="s">
        <v>46</v>
      </c>
      <c r="N8" s="524" t="s">
        <v>46</v>
      </c>
      <c r="O8" s="70" t="s">
        <v>46</v>
      </c>
      <c r="P8" s="525"/>
      <c r="Q8" s="322"/>
      <c r="R8" s="322"/>
      <c r="S8" s="346">
        <v>3</v>
      </c>
      <c r="T8" s="523"/>
      <c r="U8" s="346">
        <v>3</v>
      </c>
      <c r="V8" s="523"/>
      <c r="W8" s="528" t="s">
        <v>37</v>
      </c>
      <c r="X8" s="70"/>
      <c r="Y8" s="529"/>
      <c r="Z8" s="529"/>
      <c r="AA8" s="529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5"/>
      <c r="CD8" s="76">
        <f t="shared" si="0"/>
        <v>2.5714285714285716</v>
      </c>
      <c r="CE8" s="77">
        <f t="shared" si="1"/>
        <v>0</v>
      </c>
      <c r="CF8" s="77">
        <f t="shared" si="2"/>
        <v>7</v>
      </c>
    </row>
    <row r="9" spans="1:84" ht="16.5" customHeight="1">
      <c r="A9" s="146" t="s">
        <v>55</v>
      </c>
      <c r="B9" s="147" t="s">
        <v>56</v>
      </c>
      <c r="C9" s="105">
        <v>2</v>
      </c>
      <c r="D9" s="119">
        <v>2</v>
      </c>
      <c r="E9" s="119">
        <v>2</v>
      </c>
      <c r="F9" s="119">
        <v>2</v>
      </c>
      <c r="G9" s="537">
        <v>3</v>
      </c>
      <c r="H9" s="537">
        <v>2</v>
      </c>
      <c r="I9" s="537">
        <v>3</v>
      </c>
      <c r="J9" s="537">
        <v>3</v>
      </c>
      <c r="K9" s="119">
        <v>3</v>
      </c>
      <c r="L9" s="538">
        <v>2</v>
      </c>
      <c r="M9" s="538"/>
      <c r="N9" s="538"/>
      <c r="O9" s="119"/>
      <c r="P9" s="539"/>
      <c r="Q9" s="119"/>
      <c r="R9" s="119"/>
      <c r="S9" s="540">
        <v>3</v>
      </c>
      <c r="T9" s="537"/>
      <c r="U9" s="540">
        <v>4</v>
      </c>
      <c r="V9" s="537"/>
      <c r="W9" s="541" t="s">
        <v>46</v>
      </c>
      <c r="X9" s="119"/>
      <c r="Y9" s="542" t="s">
        <v>46</v>
      </c>
      <c r="Z9" s="542"/>
      <c r="AA9" s="542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19"/>
      <c r="BY9" s="119"/>
      <c r="BZ9" s="119"/>
      <c r="CA9" s="119"/>
      <c r="CB9" s="119"/>
      <c r="CC9" s="411"/>
      <c r="CD9" s="76">
        <f t="shared" si="0"/>
        <v>2.5833333333333335</v>
      </c>
      <c r="CE9" s="77">
        <f t="shared" si="1"/>
        <v>0</v>
      </c>
      <c r="CF9" s="77">
        <f t="shared" si="2"/>
        <v>2</v>
      </c>
    </row>
    <row r="10" spans="1:84" ht="16.5" customHeight="1">
      <c r="A10" s="149" t="s">
        <v>57</v>
      </c>
      <c r="B10" s="150" t="s">
        <v>58</v>
      </c>
      <c r="C10" s="108">
        <v>4</v>
      </c>
      <c r="D10" s="96">
        <v>3</v>
      </c>
      <c r="E10" s="96">
        <v>4</v>
      </c>
      <c r="F10" s="96">
        <v>5</v>
      </c>
      <c r="G10" s="527">
        <v>3</v>
      </c>
      <c r="H10" s="527">
        <v>3</v>
      </c>
      <c r="I10" s="527">
        <v>3</v>
      </c>
      <c r="J10" s="527">
        <v>3</v>
      </c>
      <c r="K10" s="96">
        <v>2</v>
      </c>
      <c r="L10" s="543"/>
      <c r="M10" s="543"/>
      <c r="N10" s="543"/>
      <c r="O10" s="96"/>
      <c r="P10" s="533">
        <v>5</v>
      </c>
      <c r="Q10" s="96"/>
      <c r="R10" s="96"/>
      <c r="S10" s="536">
        <v>3</v>
      </c>
      <c r="T10" s="527"/>
      <c r="U10" s="526">
        <v>4</v>
      </c>
      <c r="V10" s="527"/>
      <c r="W10" s="534" t="s">
        <v>37</v>
      </c>
      <c r="X10" s="96"/>
      <c r="Y10" s="535"/>
      <c r="Z10" s="535"/>
      <c r="AA10" s="535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412"/>
      <c r="CD10" s="76">
        <f t="shared" ref="CD10:CD28" si="3">IFERROR(AVERAGE(C10:CC10),"Нет оценок")</f>
        <v>3.5</v>
      </c>
      <c r="CE10" s="77">
        <f t="shared" ref="CE10:CE28" si="4">COUNTIF(C10:CC10,"н/у")</f>
        <v>0</v>
      </c>
      <c r="CF10" s="77">
        <f t="shared" ref="CF10:CF28" si="5">COUNTIF(C10:CC10,"н")</f>
        <v>0</v>
      </c>
    </row>
    <row r="11" spans="1:84" ht="16.5" customHeight="1">
      <c r="A11" s="144" t="s">
        <v>59</v>
      </c>
      <c r="B11" s="137" t="s">
        <v>60</v>
      </c>
      <c r="C11" s="74">
        <v>2</v>
      </c>
      <c r="D11" s="70">
        <v>4</v>
      </c>
      <c r="E11" s="70">
        <v>3</v>
      </c>
      <c r="F11" s="70">
        <v>2</v>
      </c>
      <c r="G11" s="523">
        <v>3</v>
      </c>
      <c r="H11" s="523">
        <v>3</v>
      </c>
      <c r="I11" s="523">
        <v>3</v>
      </c>
      <c r="J11" s="523">
        <v>3</v>
      </c>
      <c r="K11" s="70"/>
      <c r="L11" s="524"/>
      <c r="M11" s="524"/>
      <c r="N11" s="524"/>
      <c r="O11" s="70"/>
      <c r="P11" s="525"/>
      <c r="Q11" s="72" t="s">
        <v>48</v>
      </c>
      <c r="R11" s="544" t="s">
        <v>48</v>
      </c>
      <c r="S11" s="346">
        <v>3</v>
      </c>
      <c r="T11" s="545"/>
      <c r="U11" s="346">
        <v>3</v>
      </c>
      <c r="V11" s="523" t="s">
        <v>46</v>
      </c>
      <c r="W11" s="528" t="s">
        <v>46</v>
      </c>
      <c r="X11" s="70"/>
      <c r="Y11" s="529"/>
      <c r="Z11" s="529"/>
      <c r="AA11" s="529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97"/>
      <c r="CD11" s="76">
        <f t="shared" si="3"/>
        <v>2.9</v>
      </c>
      <c r="CE11" s="77">
        <f t="shared" si="4"/>
        <v>2</v>
      </c>
      <c r="CF11" s="77">
        <f t="shared" si="5"/>
        <v>2</v>
      </c>
    </row>
    <row r="12" spans="1:84" ht="16.5" customHeight="1">
      <c r="A12" s="144" t="s">
        <v>61</v>
      </c>
      <c r="B12" s="137" t="s">
        <v>62</v>
      </c>
      <c r="C12" s="74" t="s">
        <v>46</v>
      </c>
      <c r="D12" s="70" t="s">
        <v>46</v>
      </c>
      <c r="E12" s="70">
        <v>3</v>
      </c>
      <c r="F12" s="70" t="s">
        <v>46</v>
      </c>
      <c r="G12" s="523">
        <v>2</v>
      </c>
      <c r="H12" s="523">
        <v>2</v>
      </c>
      <c r="I12" s="523">
        <v>3</v>
      </c>
      <c r="J12" s="523">
        <v>3</v>
      </c>
      <c r="K12" s="70">
        <v>2</v>
      </c>
      <c r="L12" s="524"/>
      <c r="M12" s="524"/>
      <c r="N12" s="524"/>
      <c r="O12" s="70"/>
      <c r="P12" s="525"/>
      <c r="Q12" s="70"/>
      <c r="R12" s="70"/>
      <c r="S12" s="347">
        <v>3</v>
      </c>
      <c r="T12" s="523"/>
      <c r="U12" s="346">
        <v>3</v>
      </c>
      <c r="V12" s="523"/>
      <c r="W12" s="528" t="s">
        <v>37</v>
      </c>
      <c r="X12" s="70" t="s">
        <v>46</v>
      </c>
      <c r="Y12" s="529"/>
      <c r="Z12" s="529"/>
      <c r="AA12" s="529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97"/>
      <c r="CD12" s="76">
        <f t="shared" si="3"/>
        <v>2.625</v>
      </c>
      <c r="CE12" s="77">
        <f t="shared" si="4"/>
        <v>0</v>
      </c>
      <c r="CF12" s="77">
        <f t="shared" si="5"/>
        <v>4</v>
      </c>
    </row>
    <row r="13" spans="1:84" ht="16.5" customHeight="1">
      <c r="A13" s="144" t="s">
        <v>63</v>
      </c>
      <c r="B13" s="150" t="s">
        <v>64</v>
      </c>
      <c r="C13" s="108">
        <v>2</v>
      </c>
      <c r="D13" s="96">
        <v>2</v>
      </c>
      <c r="E13" s="96">
        <v>2</v>
      </c>
      <c r="F13" s="96">
        <v>2</v>
      </c>
      <c r="G13" s="527">
        <v>3</v>
      </c>
      <c r="H13" s="527" t="s">
        <v>46</v>
      </c>
      <c r="I13" s="527">
        <v>3</v>
      </c>
      <c r="J13" s="527">
        <v>2</v>
      </c>
      <c r="K13" s="238">
        <v>2</v>
      </c>
      <c r="L13" s="543" t="s">
        <v>46</v>
      </c>
      <c r="M13" s="543" t="s">
        <v>46</v>
      </c>
      <c r="N13" s="543"/>
      <c r="O13" s="96"/>
      <c r="P13" s="533" t="s">
        <v>46</v>
      </c>
      <c r="Q13" s="96"/>
      <c r="R13" s="143"/>
      <c r="S13" s="526">
        <v>2</v>
      </c>
      <c r="T13" s="545"/>
      <c r="U13" s="526">
        <v>2</v>
      </c>
      <c r="V13" s="527"/>
      <c r="W13" s="534" t="s">
        <v>46</v>
      </c>
      <c r="X13" s="96"/>
      <c r="Y13" s="535" t="s">
        <v>46</v>
      </c>
      <c r="Z13" s="535"/>
      <c r="AA13" s="535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412"/>
      <c r="CD13" s="76">
        <f t="shared" si="3"/>
        <v>2.2000000000000002</v>
      </c>
      <c r="CE13" s="77">
        <f t="shared" si="4"/>
        <v>0</v>
      </c>
      <c r="CF13" s="77">
        <f t="shared" si="5"/>
        <v>6</v>
      </c>
    </row>
    <row r="14" spans="1:84" ht="16.5" customHeight="1">
      <c r="A14" s="146" t="s">
        <v>65</v>
      </c>
      <c r="B14" s="151" t="s">
        <v>66</v>
      </c>
      <c r="C14" s="101">
        <v>2</v>
      </c>
      <c r="D14" s="103">
        <v>2</v>
      </c>
      <c r="E14" s="103">
        <v>2</v>
      </c>
      <c r="F14" s="103">
        <v>2</v>
      </c>
      <c r="G14" s="546">
        <v>3</v>
      </c>
      <c r="H14" s="546">
        <v>3</v>
      </c>
      <c r="I14" s="546">
        <v>3</v>
      </c>
      <c r="J14" s="546">
        <v>3</v>
      </c>
      <c r="K14" s="103">
        <v>2</v>
      </c>
      <c r="L14" s="547"/>
      <c r="M14" s="547">
        <v>2</v>
      </c>
      <c r="N14" s="547">
        <v>2</v>
      </c>
      <c r="O14" s="103">
        <v>3</v>
      </c>
      <c r="P14" s="548">
        <v>3</v>
      </c>
      <c r="Q14" s="103"/>
      <c r="R14" s="103"/>
      <c r="S14" s="549">
        <v>2</v>
      </c>
      <c r="T14" s="546"/>
      <c r="U14" s="360">
        <v>3</v>
      </c>
      <c r="V14" s="546"/>
      <c r="W14" s="550" t="s">
        <v>37</v>
      </c>
      <c r="X14" s="103"/>
      <c r="Y14" s="551" t="s">
        <v>46</v>
      </c>
      <c r="Z14" s="551"/>
      <c r="AA14" s="551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3"/>
      <c r="CC14" s="107"/>
      <c r="CD14" s="76">
        <f t="shared" si="3"/>
        <v>2.4666666666666668</v>
      </c>
      <c r="CE14" s="77">
        <f t="shared" si="4"/>
        <v>0</v>
      </c>
      <c r="CF14" s="77">
        <f t="shared" si="5"/>
        <v>1</v>
      </c>
    </row>
    <row r="15" spans="1:84" ht="16.5" customHeight="1">
      <c r="A15" s="149" t="s">
        <v>67</v>
      </c>
      <c r="B15" s="150" t="s">
        <v>68</v>
      </c>
      <c r="C15" s="108">
        <v>2</v>
      </c>
      <c r="D15" s="96">
        <v>2</v>
      </c>
      <c r="E15" s="96">
        <v>2</v>
      </c>
      <c r="F15" s="96">
        <v>2</v>
      </c>
      <c r="G15" s="527">
        <v>3</v>
      </c>
      <c r="H15" s="552">
        <v>3</v>
      </c>
      <c r="I15" s="543">
        <v>3</v>
      </c>
      <c r="J15" s="527">
        <v>3</v>
      </c>
      <c r="K15" s="96">
        <v>3</v>
      </c>
      <c r="L15" s="543"/>
      <c r="M15" s="543"/>
      <c r="N15" s="543"/>
      <c r="O15" s="96"/>
      <c r="P15" s="533" t="s">
        <v>46</v>
      </c>
      <c r="Q15" s="96">
        <v>3</v>
      </c>
      <c r="R15" s="143"/>
      <c r="S15" s="526">
        <v>3</v>
      </c>
      <c r="T15" s="545"/>
      <c r="U15" s="526">
        <v>2</v>
      </c>
      <c r="V15" s="527"/>
      <c r="W15" s="534" t="s">
        <v>46</v>
      </c>
      <c r="X15" s="96"/>
      <c r="Y15" s="535"/>
      <c r="Z15" s="535"/>
      <c r="AA15" s="535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412"/>
      <c r="CD15" s="76">
        <f t="shared" si="3"/>
        <v>2.5833333333333335</v>
      </c>
      <c r="CE15" s="77">
        <f t="shared" si="4"/>
        <v>0</v>
      </c>
      <c r="CF15" s="77">
        <f t="shared" si="5"/>
        <v>2</v>
      </c>
    </row>
    <row r="16" spans="1:84" ht="16.5" customHeight="1">
      <c r="A16" s="144" t="s">
        <v>69</v>
      </c>
      <c r="B16" s="137" t="s">
        <v>70</v>
      </c>
      <c r="C16" s="74">
        <v>3</v>
      </c>
      <c r="D16" s="70">
        <v>2</v>
      </c>
      <c r="E16" s="70">
        <v>2</v>
      </c>
      <c r="F16" s="70">
        <v>2</v>
      </c>
      <c r="G16" s="523">
        <v>3</v>
      </c>
      <c r="H16" s="523">
        <v>2</v>
      </c>
      <c r="I16" s="523">
        <v>3</v>
      </c>
      <c r="J16" s="523">
        <v>3</v>
      </c>
      <c r="K16" s="70">
        <v>2</v>
      </c>
      <c r="L16" s="524"/>
      <c r="M16" s="524">
        <v>2</v>
      </c>
      <c r="N16" s="524"/>
      <c r="O16" s="70"/>
      <c r="P16" s="525">
        <v>3</v>
      </c>
      <c r="Q16" s="73"/>
      <c r="R16" s="103"/>
      <c r="S16" s="536">
        <v>3</v>
      </c>
      <c r="T16" s="523"/>
      <c r="U16" s="346">
        <v>3</v>
      </c>
      <c r="V16" s="523"/>
      <c r="W16" s="528" t="s">
        <v>46</v>
      </c>
      <c r="X16" s="70"/>
      <c r="Y16" s="529"/>
      <c r="Z16" s="529"/>
      <c r="AA16" s="529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97"/>
      <c r="CD16" s="76">
        <f t="shared" si="3"/>
        <v>2.5384615384615383</v>
      </c>
      <c r="CE16" s="77">
        <f t="shared" si="4"/>
        <v>0</v>
      </c>
      <c r="CF16" s="77">
        <f t="shared" si="5"/>
        <v>1</v>
      </c>
    </row>
    <row r="17" spans="1:84" ht="16.5" customHeight="1">
      <c r="A17" s="144" t="s">
        <v>71</v>
      </c>
      <c r="B17" s="137" t="s">
        <v>72</v>
      </c>
      <c r="C17" s="74">
        <v>2</v>
      </c>
      <c r="D17" s="70">
        <v>3</v>
      </c>
      <c r="E17" s="70">
        <v>3</v>
      </c>
      <c r="F17" s="70">
        <v>2</v>
      </c>
      <c r="G17" s="523" t="s">
        <v>46</v>
      </c>
      <c r="H17" s="523" t="s">
        <v>46</v>
      </c>
      <c r="I17" s="523">
        <v>3</v>
      </c>
      <c r="J17" s="523">
        <v>3</v>
      </c>
      <c r="K17" s="70" t="s">
        <v>46</v>
      </c>
      <c r="L17" s="524" t="s">
        <v>46</v>
      </c>
      <c r="M17" s="524" t="s">
        <v>46</v>
      </c>
      <c r="N17" s="524"/>
      <c r="O17" s="70"/>
      <c r="P17" s="553" t="s">
        <v>46</v>
      </c>
      <c r="Q17" s="116" t="s">
        <v>48</v>
      </c>
      <c r="R17" s="116" t="s">
        <v>48</v>
      </c>
      <c r="S17" s="346">
        <v>3</v>
      </c>
      <c r="T17" s="554"/>
      <c r="U17" s="346">
        <v>3</v>
      </c>
      <c r="V17" s="523"/>
      <c r="W17" s="528" t="s">
        <v>46</v>
      </c>
      <c r="X17" s="70"/>
      <c r="Y17" s="529" t="s">
        <v>46</v>
      </c>
      <c r="Z17" s="529"/>
      <c r="AA17" s="529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97"/>
      <c r="CD17" s="76">
        <f t="shared" si="3"/>
        <v>2.75</v>
      </c>
      <c r="CE17" s="77">
        <f t="shared" si="4"/>
        <v>2</v>
      </c>
      <c r="CF17" s="77">
        <f t="shared" si="5"/>
        <v>8</v>
      </c>
    </row>
    <row r="18" spans="1:84" ht="16.5" customHeight="1">
      <c r="A18" s="144" t="s">
        <v>73</v>
      </c>
      <c r="B18" s="150" t="s">
        <v>74</v>
      </c>
      <c r="C18" s="108">
        <v>2</v>
      </c>
      <c r="D18" s="96">
        <v>2</v>
      </c>
      <c r="E18" s="96">
        <v>2</v>
      </c>
      <c r="F18" s="96">
        <v>2</v>
      </c>
      <c r="G18" s="527">
        <v>3</v>
      </c>
      <c r="H18" s="527">
        <v>3</v>
      </c>
      <c r="I18" s="527">
        <v>3</v>
      </c>
      <c r="J18" s="527">
        <v>3</v>
      </c>
      <c r="K18" s="96">
        <v>2</v>
      </c>
      <c r="L18" s="543"/>
      <c r="M18" s="543" t="s">
        <v>46</v>
      </c>
      <c r="N18" s="543"/>
      <c r="O18" s="96"/>
      <c r="P18" s="533" t="s">
        <v>46</v>
      </c>
      <c r="Q18" s="96"/>
      <c r="R18" s="70"/>
      <c r="S18" s="536">
        <v>2</v>
      </c>
      <c r="T18" s="527"/>
      <c r="U18" s="526">
        <v>2</v>
      </c>
      <c r="V18" s="527"/>
      <c r="W18" s="534" t="s">
        <v>46</v>
      </c>
      <c r="X18" s="96" t="s">
        <v>46</v>
      </c>
      <c r="Y18" s="535" t="s">
        <v>46</v>
      </c>
      <c r="Z18" s="535"/>
      <c r="AA18" s="535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6"/>
      <c r="CC18" s="412"/>
      <c r="CD18" s="76">
        <f t="shared" si="3"/>
        <v>2.3636363636363638</v>
      </c>
      <c r="CE18" s="77">
        <f t="shared" si="4"/>
        <v>0</v>
      </c>
      <c r="CF18" s="77">
        <f t="shared" si="5"/>
        <v>5</v>
      </c>
    </row>
    <row r="19" spans="1:84" ht="16.5" customHeight="1">
      <c r="A19" s="146" t="s">
        <v>75</v>
      </c>
      <c r="B19" s="151" t="s">
        <v>76</v>
      </c>
      <c r="C19" s="101">
        <v>2</v>
      </c>
      <c r="D19" s="103">
        <v>2</v>
      </c>
      <c r="E19" s="103">
        <v>2</v>
      </c>
      <c r="F19" s="103">
        <v>2</v>
      </c>
      <c r="G19" s="546">
        <v>3</v>
      </c>
      <c r="H19" s="546">
        <v>3</v>
      </c>
      <c r="I19" s="546">
        <v>3</v>
      </c>
      <c r="J19" s="546">
        <v>2</v>
      </c>
      <c r="K19" s="103">
        <v>3</v>
      </c>
      <c r="L19" s="547"/>
      <c r="M19" s="547">
        <v>2</v>
      </c>
      <c r="N19" s="547">
        <v>2</v>
      </c>
      <c r="O19" s="555">
        <v>4</v>
      </c>
      <c r="P19" s="548">
        <v>3</v>
      </c>
      <c r="Q19" s="103">
        <v>3</v>
      </c>
      <c r="R19" s="155"/>
      <c r="S19" s="360">
        <v>3</v>
      </c>
      <c r="T19" s="556"/>
      <c r="U19" s="360">
        <v>3</v>
      </c>
      <c r="V19" s="546"/>
      <c r="W19" s="550" t="s">
        <v>46</v>
      </c>
      <c r="X19" s="103"/>
      <c r="Y19" s="551">
        <v>3</v>
      </c>
      <c r="Z19" s="551"/>
      <c r="AA19" s="551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7"/>
      <c r="CD19" s="76">
        <f t="shared" si="3"/>
        <v>2.6470588235294117</v>
      </c>
      <c r="CE19" s="77">
        <f t="shared" si="4"/>
        <v>0</v>
      </c>
      <c r="CF19" s="77">
        <f t="shared" si="5"/>
        <v>1</v>
      </c>
    </row>
    <row r="20" spans="1:84" ht="16.5" customHeight="1">
      <c r="A20" s="149" t="s">
        <v>77</v>
      </c>
      <c r="B20" s="150" t="s">
        <v>78</v>
      </c>
      <c r="C20" s="108">
        <v>3</v>
      </c>
      <c r="D20" s="96">
        <v>4</v>
      </c>
      <c r="E20" s="96">
        <v>4</v>
      </c>
      <c r="F20" s="96">
        <v>5</v>
      </c>
      <c r="G20" s="527">
        <v>3</v>
      </c>
      <c r="H20" s="527">
        <v>3</v>
      </c>
      <c r="I20" s="527">
        <v>3</v>
      </c>
      <c r="J20" s="527">
        <v>3</v>
      </c>
      <c r="K20" s="96"/>
      <c r="L20" s="543"/>
      <c r="M20" s="543"/>
      <c r="N20" s="543"/>
      <c r="O20" s="96"/>
      <c r="P20" s="533"/>
      <c r="Q20" s="96" t="s">
        <v>46</v>
      </c>
      <c r="R20" s="96" t="s">
        <v>46</v>
      </c>
      <c r="S20" s="536">
        <v>2</v>
      </c>
      <c r="T20" s="527"/>
      <c r="U20" s="526">
        <v>3</v>
      </c>
      <c r="V20" s="527"/>
      <c r="W20" s="534" t="s">
        <v>46</v>
      </c>
      <c r="X20" s="96"/>
      <c r="Y20" s="535"/>
      <c r="Z20" s="535"/>
      <c r="AA20" s="535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412"/>
      <c r="CD20" s="76">
        <f t="shared" si="3"/>
        <v>3.3</v>
      </c>
      <c r="CE20" s="77">
        <f t="shared" si="4"/>
        <v>0</v>
      </c>
      <c r="CF20" s="77">
        <f t="shared" si="5"/>
        <v>3</v>
      </c>
    </row>
    <row r="21" spans="1:84" ht="16.5" customHeight="1">
      <c r="A21" s="144" t="s">
        <v>79</v>
      </c>
      <c r="B21" s="137" t="s">
        <v>80</v>
      </c>
      <c r="C21" s="74">
        <v>2</v>
      </c>
      <c r="D21" s="70">
        <v>3</v>
      </c>
      <c r="E21" s="70">
        <v>2</v>
      </c>
      <c r="F21" s="70">
        <v>2</v>
      </c>
      <c r="G21" s="523">
        <v>3</v>
      </c>
      <c r="H21" s="523">
        <v>3</v>
      </c>
      <c r="I21" s="523">
        <v>3</v>
      </c>
      <c r="J21" s="523">
        <v>3</v>
      </c>
      <c r="K21" s="70">
        <v>2</v>
      </c>
      <c r="L21" s="524"/>
      <c r="M21" s="524"/>
      <c r="N21" s="524"/>
      <c r="O21" s="70"/>
      <c r="P21" s="525"/>
      <c r="Q21" s="70">
        <v>3</v>
      </c>
      <c r="R21" s="143">
        <v>3</v>
      </c>
      <c r="S21" s="346">
        <v>3</v>
      </c>
      <c r="T21" s="545"/>
      <c r="U21" s="346">
        <v>3</v>
      </c>
      <c r="V21" s="523"/>
      <c r="W21" s="528" t="s">
        <v>46</v>
      </c>
      <c r="X21" s="70"/>
      <c r="Y21" s="529" t="s">
        <v>46</v>
      </c>
      <c r="Z21" s="529"/>
      <c r="AA21" s="529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97"/>
      <c r="CD21" s="76">
        <f t="shared" si="3"/>
        <v>2.6923076923076925</v>
      </c>
      <c r="CE21" s="77">
        <f t="shared" si="4"/>
        <v>0</v>
      </c>
      <c r="CF21" s="77">
        <f t="shared" si="5"/>
        <v>2</v>
      </c>
    </row>
    <row r="22" spans="1:84" ht="16.5" customHeight="1">
      <c r="A22" s="144" t="s">
        <v>81</v>
      </c>
      <c r="B22" s="137" t="s">
        <v>82</v>
      </c>
      <c r="C22" s="74">
        <v>2</v>
      </c>
      <c r="D22" s="70">
        <v>3</v>
      </c>
      <c r="E22" s="70">
        <v>2</v>
      </c>
      <c r="F22" s="70">
        <v>2</v>
      </c>
      <c r="G22" s="523">
        <v>3</v>
      </c>
      <c r="H22" s="523">
        <v>2</v>
      </c>
      <c r="I22" s="523">
        <v>3</v>
      </c>
      <c r="J22" s="523">
        <v>3</v>
      </c>
      <c r="K22" s="70">
        <v>2</v>
      </c>
      <c r="L22" s="524"/>
      <c r="M22" s="524"/>
      <c r="N22" s="524"/>
      <c r="O22" s="70"/>
      <c r="P22" s="525"/>
      <c r="Q22" s="70"/>
      <c r="R22" s="70"/>
      <c r="S22" s="347">
        <v>3</v>
      </c>
      <c r="T22" s="523"/>
      <c r="U22" s="346">
        <v>3</v>
      </c>
      <c r="V22" s="523"/>
      <c r="W22" s="528" t="s">
        <v>37</v>
      </c>
      <c r="X22" s="70"/>
      <c r="Y22" s="529"/>
      <c r="Z22" s="529"/>
      <c r="AA22" s="529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97"/>
      <c r="CD22" s="76">
        <f t="shared" si="3"/>
        <v>2.5454545454545454</v>
      </c>
      <c r="CE22" s="77">
        <f t="shared" si="4"/>
        <v>0</v>
      </c>
      <c r="CF22" s="77">
        <f t="shared" si="5"/>
        <v>0</v>
      </c>
    </row>
    <row r="23" spans="1:84" ht="16.5" customHeight="1">
      <c r="A23" s="144" t="s">
        <v>83</v>
      </c>
      <c r="B23" s="150" t="s">
        <v>84</v>
      </c>
      <c r="C23" s="108"/>
      <c r="D23" s="96" t="s">
        <v>46</v>
      </c>
      <c r="E23" s="96">
        <v>3</v>
      </c>
      <c r="F23" s="96">
        <v>2</v>
      </c>
      <c r="G23" s="527" t="s">
        <v>46</v>
      </c>
      <c r="H23" s="557" t="s">
        <v>48</v>
      </c>
      <c r="I23" s="557" t="s">
        <v>48</v>
      </c>
      <c r="J23" s="557" t="s">
        <v>48</v>
      </c>
      <c r="K23" s="153" t="s">
        <v>48</v>
      </c>
      <c r="L23" s="543"/>
      <c r="M23" s="543"/>
      <c r="N23" s="543" t="s">
        <v>46</v>
      </c>
      <c r="O23" s="96" t="s">
        <v>46</v>
      </c>
      <c r="P23" s="533" t="s">
        <v>46</v>
      </c>
      <c r="Q23" s="96"/>
      <c r="R23" s="143"/>
      <c r="S23" s="526">
        <v>2</v>
      </c>
      <c r="T23" s="545" t="s">
        <v>46</v>
      </c>
      <c r="U23" s="526">
        <v>2</v>
      </c>
      <c r="V23" s="527"/>
      <c r="W23" s="534" t="s">
        <v>46</v>
      </c>
      <c r="X23" s="96" t="s">
        <v>46</v>
      </c>
      <c r="Y23" s="535" t="s">
        <v>46</v>
      </c>
      <c r="Z23" s="535"/>
      <c r="AA23" s="535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412"/>
      <c r="CD23" s="76">
        <f t="shared" si="3"/>
        <v>2.25</v>
      </c>
      <c r="CE23" s="77">
        <f t="shared" si="4"/>
        <v>4</v>
      </c>
      <c r="CF23" s="77">
        <f t="shared" si="5"/>
        <v>9</v>
      </c>
    </row>
    <row r="24" spans="1:84" ht="16.5" customHeight="1">
      <c r="A24" s="154" t="s">
        <v>27</v>
      </c>
      <c r="B24" s="151" t="s">
        <v>85</v>
      </c>
      <c r="C24" s="101">
        <v>4</v>
      </c>
      <c r="D24" s="103">
        <v>4</v>
      </c>
      <c r="E24" s="103">
        <v>4</v>
      </c>
      <c r="F24" s="103">
        <v>4</v>
      </c>
      <c r="G24" s="546">
        <v>3</v>
      </c>
      <c r="H24" s="546">
        <v>3</v>
      </c>
      <c r="I24" s="546">
        <v>3</v>
      </c>
      <c r="J24" s="546">
        <v>3</v>
      </c>
      <c r="K24" s="103">
        <v>2</v>
      </c>
      <c r="L24" s="547"/>
      <c r="M24" s="547"/>
      <c r="N24" s="547"/>
      <c r="O24" s="103"/>
      <c r="P24" s="548"/>
      <c r="Q24" s="103"/>
      <c r="R24" s="103"/>
      <c r="S24" s="549">
        <v>3</v>
      </c>
      <c r="T24" s="546"/>
      <c r="U24" s="360">
        <v>4</v>
      </c>
      <c r="V24" s="546">
        <v>3</v>
      </c>
      <c r="W24" s="550" t="s">
        <v>37</v>
      </c>
      <c r="X24" s="103"/>
      <c r="Y24" s="551"/>
      <c r="Z24" s="551"/>
      <c r="AA24" s="551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7"/>
      <c r="CD24" s="76">
        <f t="shared" si="3"/>
        <v>3.3333333333333335</v>
      </c>
      <c r="CE24" s="77">
        <f t="shared" si="4"/>
        <v>0</v>
      </c>
      <c r="CF24" s="77">
        <f t="shared" si="5"/>
        <v>0</v>
      </c>
    </row>
    <row r="25" spans="1:84" ht="16.5" customHeight="1">
      <c r="A25" s="156" t="s">
        <v>86</v>
      </c>
      <c r="B25" s="150" t="s">
        <v>87</v>
      </c>
      <c r="C25" s="108">
        <v>2</v>
      </c>
      <c r="D25" s="96">
        <v>2</v>
      </c>
      <c r="E25" s="96">
        <v>3</v>
      </c>
      <c r="F25" s="96" t="s">
        <v>46</v>
      </c>
      <c r="G25" s="527">
        <v>3</v>
      </c>
      <c r="H25" s="527" t="s">
        <v>46</v>
      </c>
      <c r="I25" s="527" t="s">
        <v>46</v>
      </c>
      <c r="J25" s="557" t="s">
        <v>48</v>
      </c>
      <c r="K25" s="153" t="s">
        <v>48</v>
      </c>
      <c r="L25" s="543" t="s">
        <v>46</v>
      </c>
      <c r="M25" s="543" t="s">
        <v>46</v>
      </c>
      <c r="N25" s="543"/>
      <c r="O25" s="96" t="s">
        <v>46</v>
      </c>
      <c r="P25" s="533" t="s">
        <v>46</v>
      </c>
      <c r="Q25" s="96"/>
      <c r="R25" s="143"/>
      <c r="S25" s="526">
        <v>2</v>
      </c>
      <c r="T25" s="545" t="s">
        <v>46</v>
      </c>
      <c r="U25" s="526">
        <v>2</v>
      </c>
      <c r="V25" s="527" t="s">
        <v>46</v>
      </c>
      <c r="W25" s="534" t="s">
        <v>46</v>
      </c>
      <c r="X25" s="96" t="s">
        <v>46</v>
      </c>
      <c r="Y25" s="535" t="s">
        <v>46</v>
      </c>
      <c r="Z25" s="535"/>
      <c r="AA25" s="535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412"/>
      <c r="CD25" s="76">
        <f t="shared" si="3"/>
        <v>2.3333333333333335</v>
      </c>
      <c r="CE25" s="77">
        <f t="shared" si="4"/>
        <v>2</v>
      </c>
      <c r="CF25" s="77">
        <f t="shared" si="5"/>
        <v>12</v>
      </c>
    </row>
    <row r="26" spans="1:84" ht="16.5" hidden="1" customHeight="1">
      <c r="A26" s="139" t="s">
        <v>86</v>
      </c>
      <c r="B26" s="137" t="s">
        <v>88</v>
      </c>
      <c r="C26" s="74"/>
      <c r="D26" s="70"/>
      <c r="E26" s="70"/>
      <c r="F26" s="70"/>
      <c r="G26" s="523"/>
      <c r="H26" s="523"/>
      <c r="I26" s="523"/>
      <c r="J26" s="523"/>
      <c r="K26" s="70"/>
      <c r="L26" s="524"/>
      <c r="M26" s="524"/>
      <c r="N26" s="524"/>
      <c r="O26" s="70"/>
      <c r="P26" s="558"/>
      <c r="Q26" s="70"/>
      <c r="R26" s="70"/>
      <c r="S26" s="536"/>
      <c r="T26" s="523"/>
      <c r="U26" s="346"/>
      <c r="V26" s="523"/>
      <c r="W26" s="528"/>
      <c r="X26" s="70"/>
      <c r="Y26" s="529"/>
      <c r="Z26" s="529"/>
      <c r="AA26" s="529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97"/>
      <c r="CD26" s="76" t="str">
        <f t="shared" si="3"/>
        <v>Нет оценок</v>
      </c>
      <c r="CE26" s="77">
        <f t="shared" si="4"/>
        <v>0</v>
      </c>
      <c r="CF26" s="77">
        <f t="shared" si="5"/>
        <v>0</v>
      </c>
    </row>
    <row r="27" spans="1:84" ht="16.5" customHeight="1">
      <c r="A27" s="139" t="s">
        <v>89</v>
      </c>
      <c r="B27" s="137" t="s">
        <v>90</v>
      </c>
      <c r="C27" s="95">
        <v>2</v>
      </c>
      <c r="D27" s="73">
        <v>3</v>
      </c>
      <c r="E27" s="73">
        <v>2</v>
      </c>
      <c r="F27" s="73">
        <v>2</v>
      </c>
      <c r="G27" s="559">
        <v>3</v>
      </c>
      <c r="H27" s="559">
        <v>3</v>
      </c>
      <c r="I27" s="559">
        <v>3</v>
      </c>
      <c r="J27" s="559">
        <v>3</v>
      </c>
      <c r="K27" s="73">
        <v>2</v>
      </c>
      <c r="L27" s="560"/>
      <c r="M27" s="560"/>
      <c r="N27" s="560"/>
      <c r="O27" s="98"/>
      <c r="P27" s="110" t="s">
        <v>48</v>
      </c>
      <c r="Q27" s="95"/>
      <c r="R27" s="74"/>
      <c r="S27" s="346">
        <v>3</v>
      </c>
      <c r="T27" s="545"/>
      <c r="U27" s="561">
        <v>2</v>
      </c>
      <c r="V27" s="559"/>
      <c r="W27" s="562" t="s">
        <v>46</v>
      </c>
      <c r="X27" s="73"/>
      <c r="Y27" s="563"/>
      <c r="Z27" s="563"/>
      <c r="AA27" s="56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125"/>
      <c r="CD27" s="76">
        <f t="shared" si="3"/>
        <v>2.5454545454545454</v>
      </c>
      <c r="CE27" s="77">
        <f t="shared" si="4"/>
        <v>1</v>
      </c>
      <c r="CF27" s="77">
        <f t="shared" si="5"/>
        <v>1</v>
      </c>
    </row>
    <row r="28" spans="1:84" ht="16.5" customHeight="1">
      <c r="A28" s="139" t="s">
        <v>91</v>
      </c>
      <c r="B28" s="137" t="s">
        <v>92</v>
      </c>
      <c r="C28" s="74">
        <v>3</v>
      </c>
      <c r="D28" s="70">
        <v>2</v>
      </c>
      <c r="E28" s="70">
        <v>2</v>
      </c>
      <c r="F28" s="70">
        <v>2</v>
      </c>
      <c r="G28" s="523">
        <v>3</v>
      </c>
      <c r="H28" s="523">
        <v>3</v>
      </c>
      <c r="I28" s="523">
        <v>3</v>
      </c>
      <c r="J28" s="523">
        <v>3</v>
      </c>
      <c r="K28" s="70">
        <v>2</v>
      </c>
      <c r="L28" s="524" t="s">
        <v>46</v>
      </c>
      <c r="M28" s="564"/>
      <c r="N28" s="565" t="s">
        <v>48</v>
      </c>
      <c r="O28" s="78" t="s">
        <v>48</v>
      </c>
      <c r="P28" s="533" t="s">
        <v>46</v>
      </c>
      <c r="Q28" s="70"/>
      <c r="R28" s="70"/>
      <c r="S28" s="346">
        <v>3</v>
      </c>
      <c r="T28" s="523"/>
      <c r="U28" s="346">
        <v>2</v>
      </c>
      <c r="V28" s="523" t="s">
        <v>46</v>
      </c>
      <c r="W28" s="528" t="s">
        <v>46</v>
      </c>
      <c r="X28" s="70"/>
      <c r="Y28" s="529" t="s">
        <v>46</v>
      </c>
      <c r="Z28" s="529"/>
      <c r="AA28" s="529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97"/>
      <c r="CD28" s="76">
        <f t="shared" si="3"/>
        <v>2.5454545454545454</v>
      </c>
      <c r="CE28" s="77">
        <f t="shared" si="4"/>
        <v>2</v>
      </c>
      <c r="CF28" s="77">
        <f t="shared" si="5"/>
        <v>5</v>
      </c>
    </row>
    <row r="29" spans="1:84" ht="15.75">
      <c r="A29" s="165" t="s">
        <v>93</v>
      </c>
      <c r="B29" s="165" t="s">
        <v>94</v>
      </c>
      <c r="CD29" s="127">
        <f>IFERROR(AVERAGE(CD5:CD28),"")</f>
        <v>2.656851737350459</v>
      </c>
      <c r="CE29" s="128">
        <f>SUM(CE5:CE28)</f>
        <v>16</v>
      </c>
      <c r="CF29" s="128">
        <f>SUM(CF5:CF28)</f>
        <v>89</v>
      </c>
    </row>
    <row r="30" spans="1:84" ht="30">
      <c r="A30" s="372">
        <v>45908</v>
      </c>
      <c r="B30" s="168" t="s">
        <v>322</v>
      </c>
      <c r="C30" t="s">
        <v>234</v>
      </c>
    </row>
    <row r="31" spans="1:84" ht="30">
      <c r="A31" s="372">
        <v>45911</v>
      </c>
      <c r="B31" s="168" t="s">
        <v>323</v>
      </c>
      <c r="C31" t="s">
        <v>234</v>
      </c>
      <c r="O31" s="566"/>
      <c r="P31" s="567" t="s">
        <v>324</v>
      </c>
      <c r="Q31" s="568" t="s">
        <v>325</v>
      </c>
    </row>
    <row r="32" spans="1:84" ht="60">
      <c r="A32" s="372">
        <v>45912</v>
      </c>
      <c r="B32" s="168" t="s">
        <v>326</v>
      </c>
      <c r="C32" t="s">
        <v>234</v>
      </c>
      <c r="O32" s="569" t="s">
        <v>327</v>
      </c>
      <c r="P32" s="570">
        <v>32</v>
      </c>
      <c r="Q32" s="571">
        <v>30</v>
      </c>
    </row>
    <row r="33" spans="1:17" ht="47.25">
      <c r="A33" s="372">
        <v>45916</v>
      </c>
      <c r="B33" s="572" t="s">
        <v>328</v>
      </c>
      <c r="C33" t="s">
        <v>234</v>
      </c>
      <c r="G33">
        <f>COUNTIF(C30:C80,"Л")</f>
        <v>12</v>
      </c>
      <c r="O33" s="573" t="s">
        <v>329</v>
      </c>
      <c r="P33" s="574">
        <f>G33*2</f>
        <v>24</v>
      </c>
      <c r="Q33" s="575">
        <f>G34*2</f>
        <v>26</v>
      </c>
    </row>
    <row r="34" spans="1:17">
      <c r="A34" s="576">
        <v>45919</v>
      </c>
      <c r="B34" s="577" t="s">
        <v>309</v>
      </c>
      <c r="C34" t="s">
        <v>235</v>
      </c>
      <c r="G34">
        <f>COUNTIF(C30:C80,"П")</f>
        <v>13</v>
      </c>
    </row>
    <row r="35" spans="1:17">
      <c r="A35" s="576">
        <v>45922</v>
      </c>
      <c r="B35" s="577" t="s">
        <v>313</v>
      </c>
      <c r="C35" t="s">
        <v>235</v>
      </c>
    </row>
    <row r="36" spans="1:17">
      <c r="A36" s="576">
        <v>45924</v>
      </c>
      <c r="B36" s="577" t="s">
        <v>330</v>
      </c>
      <c r="C36" t="s">
        <v>235</v>
      </c>
    </row>
    <row r="37" spans="1:17">
      <c r="A37" s="576">
        <v>45925</v>
      </c>
      <c r="B37" s="577" t="s">
        <v>331</v>
      </c>
      <c r="C37" t="s">
        <v>235</v>
      </c>
    </row>
    <row r="38" spans="1:17" ht="45">
      <c r="A38" s="372">
        <v>45925</v>
      </c>
      <c r="B38" s="168" t="s">
        <v>332</v>
      </c>
      <c r="C38" t="s">
        <v>234</v>
      </c>
    </row>
    <row r="39" spans="1:17">
      <c r="A39" s="578">
        <v>45938</v>
      </c>
      <c r="B39" s="579" t="s">
        <v>333</v>
      </c>
      <c r="C39" t="s">
        <v>235</v>
      </c>
    </row>
    <row r="40" spans="1:17" ht="30">
      <c r="A40" s="580">
        <v>45940</v>
      </c>
      <c r="B40" s="581" t="s">
        <v>334</v>
      </c>
      <c r="C40" t="s">
        <v>234</v>
      </c>
    </row>
    <row r="41" spans="1:17">
      <c r="A41" s="578">
        <v>45951</v>
      </c>
      <c r="B41" s="579" t="s">
        <v>335</v>
      </c>
      <c r="C41" t="s">
        <v>235</v>
      </c>
    </row>
    <row r="42" spans="1:17" ht="45">
      <c r="A42" s="580">
        <v>45952</v>
      </c>
      <c r="B42" s="581" t="s">
        <v>336</v>
      </c>
      <c r="C42" t="s">
        <v>234</v>
      </c>
    </row>
    <row r="43" spans="1:17">
      <c r="A43" s="578">
        <v>45952</v>
      </c>
      <c r="B43" s="579" t="s">
        <v>337</v>
      </c>
      <c r="C43" t="s">
        <v>235</v>
      </c>
    </row>
    <row r="44" spans="1:17" ht="30">
      <c r="A44" s="580">
        <v>45961</v>
      </c>
      <c r="B44" s="581" t="s">
        <v>338</v>
      </c>
      <c r="C44" t="s">
        <v>234</v>
      </c>
    </row>
    <row r="45" spans="1:17" ht="30">
      <c r="A45" s="580">
        <v>45975</v>
      </c>
      <c r="B45" s="581" t="s">
        <v>339</v>
      </c>
      <c r="C45" t="s">
        <v>234</v>
      </c>
    </row>
    <row r="46" spans="1:17" ht="30">
      <c r="A46" s="580">
        <v>45975</v>
      </c>
      <c r="B46" s="582" t="s">
        <v>340</v>
      </c>
      <c r="C46" t="s">
        <v>234</v>
      </c>
    </row>
    <row r="47" spans="1:17">
      <c r="A47" s="583">
        <v>45984</v>
      </c>
      <c r="B47" s="584" t="s">
        <v>341</v>
      </c>
      <c r="C47" t="s">
        <v>235</v>
      </c>
    </row>
    <row r="48" spans="1:17">
      <c r="A48" s="585">
        <v>45988</v>
      </c>
      <c r="B48" s="579" t="s">
        <v>342</v>
      </c>
      <c r="C48" t="s">
        <v>235</v>
      </c>
    </row>
    <row r="49" spans="1:3">
      <c r="A49" s="583">
        <v>46000</v>
      </c>
      <c r="B49" s="584" t="s">
        <v>258</v>
      </c>
    </row>
    <row r="50" spans="1:3">
      <c r="A50" s="585">
        <v>46041</v>
      </c>
      <c r="B50" s="579" t="s">
        <v>343</v>
      </c>
      <c r="C50" t="s">
        <v>235</v>
      </c>
    </row>
    <row r="51" spans="1:3" ht="31.5">
      <c r="A51" s="586">
        <v>46046</v>
      </c>
      <c r="B51" s="587" t="s">
        <v>344</v>
      </c>
      <c r="C51" t="s">
        <v>234</v>
      </c>
    </row>
    <row r="52" spans="1:3" ht="15.75">
      <c r="A52" s="580">
        <v>46072</v>
      </c>
      <c r="B52" s="582" t="s">
        <v>345</v>
      </c>
      <c r="C52" t="s">
        <v>234</v>
      </c>
    </row>
    <row r="53" spans="1:3">
      <c r="A53" s="588">
        <v>46078</v>
      </c>
      <c r="B53" s="579" t="s">
        <v>346</v>
      </c>
      <c r="C53" t="s">
        <v>235</v>
      </c>
    </row>
    <row r="54" spans="1:3">
      <c r="A54" s="588">
        <v>46084</v>
      </c>
      <c r="B54" s="579" t="s">
        <v>347</v>
      </c>
      <c r="C54" t="s">
        <v>235</v>
      </c>
    </row>
    <row r="55" spans="1:3">
      <c r="A55" s="588">
        <v>6.3</v>
      </c>
      <c r="B55" s="579" t="s">
        <v>348</v>
      </c>
      <c r="C55" s="589" t="s">
        <v>235</v>
      </c>
    </row>
    <row r="56" spans="1:3">
      <c r="A56" s="580"/>
      <c r="B56" s="168"/>
    </row>
    <row r="57" spans="1:3">
      <c r="A57" s="580"/>
      <c r="B57" s="168"/>
    </row>
    <row r="58" spans="1:3">
      <c r="A58" s="580"/>
      <c r="B58" s="168"/>
    </row>
    <row r="59" spans="1:3">
      <c r="A59" s="580"/>
      <c r="B59" s="168"/>
    </row>
    <row r="60" spans="1:3">
      <c r="A60" s="580"/>
      <c r="B60" s="168"/>
    </row>
    <row r="61" spans="1:3">
      <c r="A61" s="580"/>
      <c r="B61" s="168"/>
    </row>
    <row r="62" spans="1:3">
      <c r="A62" s="580"/>
      <c r="B62" s="168"/>
    </row>
    <row r="63" spans="1:3">
      <c r="A63" s="580"/>
      <c r="B63" s="168"/>
    </row>
    <row r="64" spans="1:3">
      <c r="A64" s="580"/>
      <c r="B64" s="168"/>
    </row>
    <row r="65" spans="1:2">
      <c r="A65" s="580"/>
      <c r="B65" s="168"/>
    </row>
    <row r="66" spans="1:2">
      <c r="A66" s="580"/>
      <c r="B66" s="168"/>
    </row>
    <row r="67" spans="1:2">
      <c r="B67" s="581"/>
    </row>
    <row r="68" spans="1:2">
      <c r="B68" s="581"/>
    </row>
    <row r="69" spans="1:2">
      <c r="B69" s="581"/>
    </row>
    <row r="70" spans="1:2">
      <c r="B70" s="581"/>
    </row>
    <row r="71" spans="1:2">
      <c r="B71" s="581"/>
    </row>
    <row r="72" spans="1:2">
      <c r="B72" s="581"/>
    </row>
    <row r="73" spans="1:2">
      <c r="B73" s="581"/>
    </row>
    <row r="74" spans="1:2">
      <c r="B74" s="581"/>
    </row>
    <row r="75" spans="1:2">
      <c r="B75" s="581"/>
    </row>
    <row r="76" spans="1:2">
      <c r="B76" s="581"/>
    </row>
    <row r="77" spans="1:2">
      <c r="B77" s="581"/>
    </row>
    <row r="78" spans="1:2">
      <c r="B78" s="581"/>
    </row>
    <row r="79" spans="1:2">
      <c r="B79" s="581"/>
    </row>
    <row r="80" spans="1:2">
      <c r="B80" s="581"/>
    </row>
    <row r="81" spans="2:2">
      <c r="B81" s="581"/>
    </row>
    <row r="82" spans="2:2">
      <c r="B82" s="581"/>
    </row>
    <row r="83" spans="2:2">
      <c r="B83" s="581"/>
    </row>
    <row r="84" spans="2:2">
      <c r="B84" s="581"/>
    </row>
    <row r="85" spans="2:2">
      <c r="B85" s="581"/>
    </row>
    <row r="86" spans="2:2">
      <c r="B86" s="581"/>
    </row>
    <row r="87" spans="2:2">
      <c r="B87" s="581"/>
    </row>
    <row r="88" spans="2:2">
      <c r="B88" s="581"/>
    </row>
    <row r="89" spans="2:2">
      <c r="B89" s="581"/>
    </row>
    <row r="90" spans="2:2">
      <c r="B90" s="581"/>
    </row>
    <row r="91" spans="2:2">
      <c r="B91" s="581"/>
    </row>
    <row r="92" spans="2:2">
      <c r="B92" s="581"/>
    </row>
    <row r="93" spans="2:2">
      <c r="B93" s="581"/>
    </row>
    <row r="94" spans="2:2">
      <c r="B94" s="581"/>
    </row>
    <row r="95" spans="2:2">
      <c r="B95" s="581"/>
    </row>
    <row r="96" spans="2:2">
      <c r="B96" s="581"/>
    </row>
    <row r="97" spans="2:2">
      <c r="B97" s="581"/>
    </row>
    <row r="98" spans="2:2">
      <c r="B98" s="581"/>
    </row>
    <row r="99" spans="2:2">
      <c r="B99" s="581"/>
    </row>
  </sheetData>
  <mergeCells count="6">
    <mergeCell ref="CE3:CF3"/>
    <mergeCell ref="A1:B1"/>
    <mergeCell ref="C1:CC1"/>
    <mergeCell ref="A2:B2"/>
    <mergeCell ref="C2:CC2"/>
    <mergeCell ref="A3:A4"/>
  </mergeCells>
  <conditionalFormatting sqref="CF5:CF28">
    <cfRule type="cellIs" dxfId="60" priority="2" operator="greaterThan">
      <formula>0</formula>
    </cfRule>
  </conditionalFormatting>
  <conditionalFormatting sqref="CD5:CD29">
    <cfRule type="cellIs" dxfId="59" priority="1" operator="lessThan">
      <formula>3</formula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6"/>
  <sheetViews>
    <sheetView zoomScale="85"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.75"/>
  <cols>
    <col min="1" max="1" width="8.109375" customWidth="1"/>
    <col min="2" max="2" width="34.44140625" customWidth="1"/>
    <col min="3" max="15" width="2.77734375" customWidth="1"/>
    <col min="16" max="16" width="1.5546875" style="590" customWidth="1"/>
    <col min="17" max="53" width="2.77734375" customWidth="1"/>
    <col min="54" max="54" width="6.5546875" customWidth="1"/>
    <col min="55" max="55" width="10.6640625" customWidth="1"/>
    <col min="56" max="57" width="8.109375" customWidth="1"/>
  </cols>
  <sheetData>
    <row r="1" spans="1:57" ht="27.75">
      <c r="A1" s="1277" t="s">
        <v>38</v>
      </c>
      <c r="B1" s="1277"/>
      <c r="C1" s="1280" t="s">
        <v>16</v>
      </c>
      <c r="D1" s="1280"/>
      <c r="E1" s="1280"/>
      <c r="F1" s="1280"/>
      <c r="G1" s="1280"/>
      <c r="H1" s="1280"/>
      <c r="I1" s="1280"/>
      <c r="J1" s="1280"/>
      <c r="K1" s="1280"/>
      <c r="L1" s="1280"/>
      <c r="M1" s="1280"/>
      <c r="N1" s="1280"/>
      <c r="O1" s="1280"/>
      <c r="P1" s="1325"/>
      <c r="Q1" s="1280"/>
      <c r="R1" s="1280"/>
      <c r="S1" s="1280"/>
      <c r="T1" s="1280"/>
      <c r="U1" s="1280"/>
      <c r="V1" s="1280"/>
      <c r="W1" s="1280"/>
      <c r="X1" s="1280"/>
      <c r="Y1" s="1280"/>
      <c r="Z1" s="1280"/>
      <c r="AA1" s="1280"/>
      <c r="AB1" s="1280"/>
      <c r="AC1" s="1280"/>
      <c r="AD1" s="1280"/>
      <c r="AE1" s="1280"/>
      <c r="AF1" s="1280"/>
      <c r="AG1" s="1280"/>
      <c r="AH1" s="1280"/>
      <c r="AI1" s="1280"/>
      <c r="AJ1" s="1280"/>
      <c r="AK1" s="1280"/>
      <c r="AL1" s="1280"/>
      <c r="AM1" s="1280"/>
      <c r="AN1" s="1280"/>
      <c r="AO1" s="1280"/>
      <c r="AP1" s="1280"/>
      <c r="AQ1" s="1280"/>
      <c r="AR1" s="1280"/>
      <c r="AS1" s="1280"/>
      <c r="AT1" s="1280"/>
      <c r="AU1" s="1280"/>
      <c r="AV1" s="1280"/>
      <c r="AW1" s="1280"/>
      <c r="AX1" s="1280"/>
      <c r="AY1" s="1280"/>
      <c r="AZ1" s="1280"/>
      <c r="BA1" s="1280"/>
      <c r="BB1" s="29"/>
    </row>
    <row r="2" spans="1:57" ht="27.75">
      <c r="A2" s="1277" t="s">
        <v>39</v>
      </c>
      <c r="B2" s="1277"/>
      <c r="C2" s="1277" t="s">
        <v>349</v>
      </c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326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1277"/>
      <c r="AD2" s="1277"/>
      <c r="AE2" s="1277"/>
      <c r="AF2" s="1277"/>
      <c r="AG2" s="1277"/>
      <c r="AH2" s="1277"/>
      <c r="AI2" s="1277"/>
      <c r="AJ2" s="1277"/>
      <c r="AK2" s="1277"/>
      <c r="AL2" s="1277"/>
      <c r="AM2" s="1277"/>
      <c r="AN2" s="1277"/>
      <c r="AO2" s="1277"/>
      <c r="AP2" s="1277"/>
      <c r="AQ2" s="1277"/>
      <c r="AR2" s="1277"/>
      <c r="AS2" s="1277"/>
      <c r="AT2" s="1277"/>
      <c r="AU2" s="1277"/>
      <c r="AV2" s="1277"/>
      <c r="AW2" s="1277"/>
      <c r="AX2" s="1277"/>
      <c r="AY2" s="1277"/>
      <c r="AZ2" s="1277"/>
      <c r="BA2" s="1277"/>
      <c r="BB2" s="31"/>
      <c r="BC2" s="32"/>
      <c r="BD2" s="32"/>
      <c r="BE2" s="32"/>
    </row>
    <row r="3" spans="1:57">
      <c r="A3" s="1281" t="s">
        <v>41</v>
      </c>
      <c r="B3" s="129" t="s">
        <v>42</v>
      </c>
      <c r="C3" s="592">
        <v>9</v>
      </c>
      <c r="D3" s="593">
        <v>9</v>
      </c>
      <c r="E3" s="593">
        <v>10</v>
      </c>
      <c r="F3" s="593">
        <v>10</v>
      </c>
      <c r="G3" s="594">
        <v>10</v>
      </c>
      <c r="H3" s="595">
        <v>10</v>
      </c>
      <c r="I3" s="593">
        <v>11</v>
      </c>
      <c r="J3" s="42">
        <v>11</v>
      </c>
      <c r="K3" s="596">
        <v>11</v>
      </c>
      <c r="L3" s="42">
        <v>11</v>
      </c>
      <c r="M3" s="595">
        <v>11</v>
      </c>
      <c r="N3" s="42">
        <v>12</v>
      </c>
      <c r="O3" s="597">
        <v>12</v>
      </c>
      <c r="P3" s="598"/>
      <c r="Q3" s="596">
        <v>2</v>
      </c>
      <c r="R3" s="599">
        <v>3</v>
      </c>
      <c r="S3" s="600">
        <v>3</v>
      </c>
      <c r="T3" s="43">
        <v>3</v>
      </c>
      <c r="U3" s="43">
        <v>3</v>
      </c>
      <c r="V3" s="43">
        <v>3</v>
      </c>
      <c r="W3" s="601">
        <v>3</v>
      </c>
      <c r="X3" s="43">
        <v>4</v>
      </c>
      <c r="Y3" s="43">
        <v>4</v>
      </c>
      <c r="Z3" s="43">
        <v>4</v>
      </c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315"/>
      <c r="AX3" s="315"/>
      <c r="AY3" s="315"/>
      <c r="AZ3" s="315"/>
      <c r="BA3" s="315"/>
      <c r="BB3" s="316" t="s">
        <v>207</v>
      </c>
      <c r="BC3" s="45"/>
      <c r="BD3" s="1278" t="s">
        <v>0</v>
      </c>
      <c r="BE3" s="1279"/>
    </row>
    <row r="4" spans="1:57">
      <c r="A4" s="1282"/>
      <c r="B4" s="132" t="s">
        <v>43</v>
      </c>
      <c r="C4" s="174">
        <v>17</v>
      </c>
      <c r="D4" s="176">
        <v>17</v>
      </c>
      <c r="E4" s="57">
        <v>7</v>
      </c>
      <c r="F4" s="176">
        <v>20</v>
      </c>
      <c r="G4" s="602">
        <v>27</v>
      </c>
      <c r="H4" s="603">
        <v>30</v>
      </c>
      <c r="I4" s="604">
        <v>21</v>
      </c>
      <c r="J4" s="604">
        <v>21</v>
      </c>
      <c r="K4" s="605">
        <v>27</v>
      </c>
      <c r="L4" s="606">
        <v>28</v>
      </c>
      <c r="M4" s="603">
        <v>28</v>
      </c>
      <c r="N4" s="606">
        <v>3</v>
      </c>
      <c r="O4" s="607">
        <v>9</v>
      </c>
      <c r="P4" s="608"/>
      <c r="Q4" s="605">
        <v>6</v>
      </c>
      <c r="R4" s="609">
        <v>2</v>
      </c>
      <c r="S4" s="610">
        <v>4</v>
      </c>
      <c r="T4" s="58">
        <v>5</v>
      </c>
      <c r="U4" s="58">
        <v>6</v>
      </c>
      <c r="V4" s="58">
        <v>12</v>
      </c>
      <c r="W4" s="611">
        <v>12</v>
      </c>
      <c r="X4" s="58">
        <v>6</v>
      </c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318" t="s">
        <v>32</v>
      </c>
      <c r="BC4" s="45" t="s">
        <v>33</v>
      </c>
      <c r="BD4" s="60" t="s">
        <v>5</v>
      </c>
      <c r="BE4" s="60" t="s">
        <v>6</v>
      </c>
    </row>
    <row r="5" spans="1:57" ht="16.5" customHeight="1">
      <c r="A5" s="136" t="s">
        <v>44</v>
      </c>
      <c r="B5" s="137" t="s">
        <v>45</v>
      </c>
      <c r="C5" s="74"/>
      <c r="D5" s="74"/>
      <c r="E5" s="74"/>
      <c r="F5" s="74" t="s">
        <v>46</v>
      </c>
      <c r="G5" s="612" t="s">
        <v>46</v>
      </c>
      <c r="H5" s="613">
        <v>2</v>
      </c>
      <c r="I5" s="108" t="s">
        <v>46</v>
      </c>
      <c r="J5" s="108" t="s">
        <v>46</v>
      </c>
      <c r="K5" s="612" t="s">
        <v>46</v>
      </c>
      <c r="L5" s="108" t="s">
        <v>46</v>
      </c>
      <c r="M5" s="613" t="s">
        <v>46</v>
      </c>
      <c r="N5" s="108" t="s">
        <v>46</v>
      </c>
      <c r="O5" s="614">
        <v>3</v>
      </c>
      <c r="P5" s="615"/>
      <c r="Q5" s="616" t="s">
        <v>46</v>
      </c>
      <c r="R5" s="617" t="s">
        <v>46</v>
      </c>
      <c r="S5" s="617">
        <v>2</v>
      </c>
      <c r="T5" s="74" t="s">
        <v>46</v>
      </c>
      <c r="U5" s="70" t="s">
        <v>46</v>
      </c>
      <c r="V5" s="70" t="s">
        <v>46</v>
      </c>
      <c r="W5" s="91"/>
      <c r="X5" s="70" t="s">
        <v>46</v>
      </c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322"/>
      <c r="AZ5" s="70"/>
      <c r="BA5" s="322"/>
      <c r="BB5" s="618"/>
      <c r="BC5" s="76">
        <f t="shared" ref="BC5:BC9" si="0">IFERROR(AVERAGE(C5:BB5),"Нет оценок")</f>
        <v>2.3333333333333335</v>
      </c>
      <c r="BD5" s="77">
        <f t="shared" ref="BD5:BD9" si="1">COUNTIF(C5:BA5,"н/у")</f>
        <v>0</v>
      </c>
      <c r="BE5" s="77">
        <f t="shared" ref="BE5:BE9" si="2">COUNTIF(C5:BB5,"н")</f>
        <v>14</v>
      </c>
    </row>
    <row r="6" spans="1:57" ht="16.5" customHeight="1">
      <c r="A6" s="139" t="s">
        <v>49</v>
      </c>
      <c r="B6" s="140" t="s">
        <v>50</v>
      </c>
      <c r="C6" s="108"/>
      <c r="D6" s="108"/>
      <c r="E6" s="485"/>
      <c r="F6" s="619"/>
      <c r="G6" s="620"/>
      <c r="H6" s="613">
        <v>3</v>
      </c>
      <c r="I6" s="108"/>
      <c r="J6" s="108"/>
      <c r="K6" s="620"/>
      <c r="L6" s="108" t="s">
        <v>36</v>
      </c>
      <c r="M6" s="613">
        <v>4</v>
      </c>
      <c r="N6" s="108"/>
      <c r="O6" s="621">
        <v>3</v>
      </c>
      <c r="P6" s="615"/>
      <c r="Q6" s="622" t="s">
        <v>46</v>
      </c>
      <c r="R6" s="623" t="s">
        <v>36</v>
      </c>
      <c r="S6" s="623" t="s">
        <v>46</v>
      </c>
      <c r="T6" s="108" t="s">
        <v>350</v>
      </c>
      <c r="U6" s="96"/>
      <c r="V6" s="96"/>
      <c r="W6" s="35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327"/>
      <c r="AZ6" s="96"/>
      <c r="BA6" s="327"/>
      <c r="BB6" s="624"/>
      <c r="BC6" s="76">
        <f t="shared" si="0"/>
        <v>3.3333333333333335</v>
      </c>
      <c r="BD6" s="77">
        <f t="shared" si="1"/>
        <v>0</v>
      </c>
      <c r="BE6" s="77">
        <f t="shared" si="2"/>
        <v>2</v>
      </c>
    </row>
    <row r="7" spans="1:57" ht="16.5" customHeight="1">
      <c r="A7" s="204" t="s">
        <v>51</v>
      </c>
      <c r="B7" s="137" t="s">
        <v>52</v>
      </c>
      <c r="C7" s="74"/>
      <c r="D7" s="74"/>
      <c r="E7" s="74"/>
      <c r="F7" s="74"/>
      <c r="G7" s="625" t="s">
        <v>36</v>
      </c>
      <c r="H7" s="626">
        <v>3</v>
      </c>
      <c r="I7" s="74" t="s">
        <v>36</v>
      </c>
      <c r="J7" s="74"/>
      <c r="K7" s="625"/>
      <c r="L7" s="74" t="s">
        <v>36</v>
      </c>
      <c r="M7" s="626" t="s">
        <v>101</v>
      </c>
      <c r="N7" s="74"/>
      <c r="O7" s="627">
        <v>3</v>
      </c>
      <c r="P7" s="628"/>
      <c r="Q7" s="629"/>
      <c r="R7" s="630">
        <v>3</v>
      </c>
      <c r="S7" s="630">
        <v>3</v>
      </c>
      <c r="T7" s="74"/>
      <c r="U7" s="70"/>
      <c r="V7" s="70"/>
      <c r="W7" s="91"/>
      <c r="X7" s="70" t="s">
        <v>46</v>
      </c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322"/>
      <c r="AZ7" s="70"/>
      <c r="BA7" s="322"/>
      <c r="BB7" s="618"/>
      <c r="BC7" s="76">
        <f t="shared" si="0"/>
        <v>3</v>
      </c>
      <c r="BD7" s="77">
        <f t="shared" si="1"/>
        <v>0</v>
      </c>
      <c r="BE7" s="77">
        <f t="shared" si="2"/>
        <v>1</v>
      </c>
    </row>
    <row r="8" spans="1:57" ht="16.5" customHeight="1">
      <c r="A8" s="144" t="s">
        <v>53</v>
      </c>
      <c r="B8" s="137" t="s">
        <v>54</v>
      </c>
      <c r="C8" s="74" t="s">
        <v>46</v>
      </c>
      <c r="D8" s="74" t="s">
        <v>46</v>
      </c>
      <c r="E8" s="74"/>
      <c r="F8" s="74" t="s">
        <v>36</v>
      </c>
      <c r="G8" s="631" t="s">
        <v>36</v>
      </c>
      <c r="H8" s="626">
        <v>2</v>
      </c>
      <c r="I8" s="74"/>
      <c r="J8" s="74"/>
      <c r="K8" s="631"/>
      <c r="L8" s="74" t="s">
        <v>46</v>
      </c>
      <c r="M8" s="626" t="s">
        <v>46</v>
      </c>
      <c r="N8" s="74" t="s">
        <v>46</v>
      </c>
      <c r="O8" s="632">
        <v>4</v>
      </c>
      <c r="P8" s="628"/>
      <c r="Q8" s="633" t="s">
        <v>36</v>
      </c>
      <c r="R8" s="634">
        <v>3</v>
      </c>
      <c r="S8" s="634">
        <v>3</v>
      </c>
      <c r="T8" s="74"/>
      <c r="U8" s="70" t="s">
        <v>46</v>
      </c>
      <c r="V8" s="70"/>
      <c r="W8" s="91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322"/>
      <c r="AZ8" s="70"/>
      <c r="BA8" s="322"/>
      <c r="BB8" s="618"/>
      <c r="BC8" s="76">
        <f t="shared" si="0"/>
        <v>3</v>
      </c>
      <c r="BD8" s="77">
        <f t="shared" si="1"/>
        <v>0</v>
      </c>
      <c r="BE8" s="77">
        <f t="shared" si="2"/>
        <v>6</v>
      </c>
    </row>
    <row r="9" spans="1:57" ht="16.5" customHeight="1">
      <c r="A9" s="146" t="s">
        <v>55</v>
      </c>
      <c r="B9" s="147" t="s">
        <v>56</v>
      </c>
      <c r="C9" s="105"/>
      <c r="D9" s="105"/>
      <c r="E9" s="105"/>
      <c r="F9" s="105"/>
      <c r="G9" s="635" t="s">
        <v>36</v>
      </c>
      <c r="H9" s="636">
        <v>3</v>
      </c>
      <c r="I9" s="105"/>
      <c r="J9" s="105"/>
      <c r="K9" s="635"/>
      <c r="L9" s="105"/>
      <c r="M9" s="636" t="s">
        <v>101</v>
      </c>
      <c r="N9" s="105"/>
      <c r="O9" s="637">
        <v>4</v>
      </c>
      <c r="P9" s="638"/>
      <c r="Q9" s="639"/>
      <c r="R9" s="640">
        <v>2</v>
      </c>
      <c r="S9" s="640">
        <v>2</v>
      </c>
      <c r="T9" s="105" t="s">
        <v>46</v>
      </c>
      <c r="U9" s="119"/>
      <c r="V9" s="119"/>
      <c r="W9" s="641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642"/>
      <c r="BC9" s="76">
        <f t="shared" si="0"/>
        <v>2.75</v>
      </c>
      <c r="BD9" s="77">
        <f t="shared" si="1"/>
        <v>0</v>
      </c>
      <c r="BE9" s="77">
        <f t="shared" si="2"/>
        <v>1</v>
      </c>
    </row>
    <row r="10" spans="1:57" ht="16.5" customHeight="1">
      <c r="A10" s="149" t="s">
        <v>57</v>
      </c>
      <c r="B10" s="150" t="s">
        <v>58</v>
      </c>
      <c r="C10" s="108"/>
      <c r="D10" s="108"/>
      <c r="E10" s="108"/>
      <c r="F10" s="108"/>
      <c r="G10" s="620" t="s">
        <v>36</v>
      </c>
      <c r="H10" s="613">
        <v>3</v>
      </c>
      <c r="I10" s="108"/>
      <c r="J10" s="108"/>
      <c r="K10" s="620"/>
      <c r="L10" s="108"/>
      <c r="M10" s="613" t="s">
        <v>101</v>
      </c>
      <c r="N10" s="108"/>
      <c r="O10" s="621">
        <v>3</v>
      </c>
      <c r="P10" s="615"/>
      <c r="Q10" s="622"/>
      <c r="R10" s="623">
        <v>3</v>
      </c>
      <c r="S10" s="623">
        <v>3</v>
      </c>
      <c r="T10" s="108"/>
      <c r="U10" s="96"/>
      <c r="V10" s="96"/>
      <c r="W10" s="356"/>
      <c r="X10" s="96" t="s">
        <v>351</v>
      </c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643"/>
      <c r="BC10" s="76">
        <f t="shared" ref="BC10:BC28" si="3">IFERROR(AVERAGE(C10:BB10),"Нет оценок")</f>
        <v>3</v>
      </c>
      <c r="BD10" s="77">
        <f t="shared" ref="BD10:BD28" si="4">COUNTIF(C10:BA10,"н/у")</f>
        <v>0</v>
      </c>
      <c r="BE10" s="77">
        <f t="shared" ref="BE10:BE28" si="5">COUNTIF(C10:BB10,"н")</f>
        <v>0</v>
      </c>
    </row>
    <row r="11" spans="1:57" ht="16.5" customHeight="1">
      <c r="A11" s="144" t="s">
        <v>59</v>
      </c>
      <c r="B11" s="137" t="s">
        <v>60</v>
      </c>
      <c r="C11" s="74"/>
      <c r="D11" s="74"/>
      <c r="E11" s="74"/>
      <c r="F11" s="74" t="s">
        <v>36</v>
      </c>
      <c r="G11" s="625"/>
      <c r="H11" s="626">
        <v>3</v>
      </c>
      <c r="I11" s="74"/>
      <c r="J11" s="74"/>
      <c r="K11" s="625"/>
      <c r="L11" s="74" t="s">
        <v>36</v>
      </c>
      <c r="M11" s="626" t="s">
        <v>101</v>
      </c>
      <c r="N11" s="74"/>
      <c r="O11" s="627">
        <v>2</v>
      </c>
      <c r="P11" s="628"/>
      <c r="Q11" s="629"/>
      <c r="R11" s="630">
        <v>3</v>
      </c>
      <c r="S11" s="630">
        <v>3</v>
      </c>
      <c r="T11" s="74" t="s">
        <v>350</v>
      </c>
      <c r="U11" s="70"/>
      <c r="V11" s="70"/>
      <c r="W11" s="644">
        <v>3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645"/>
      <c r="BC11" s="76">
        <f t="shared" si="3"/>
        <v>2.8</v>
      </c>
      <c r="BD11" s="77">
        <f t="shared" si="4"/>
        <v>0</v>
      </c>
      <c r="BE11" s="77">
        <f t="shared" si="5"/>
        <v>0</v>
      </c>
    </row>
    <row r="12" spans="1:57" ht="16.5" customHeight="1">
      <c r="A12" s="144" t="s">
        <v>61</v>
      </c>
      <c r="B12" s="137" t="s">
        <v>62</v>
      </c>
      <c r="C12" s="74" t="s">
        <v>46</v>
      </c>
      <c r="D12" s="74" t="s">
        <v>46</v>
      </c>
      <c r="E12" s="74"/>
      <c r="F12" s="74"/>
      <c r="G12" s="631" t="s">
        <v>36</v>
      </c>
      <c r="H12" s="626">
        <v>3</v>
      </c>
      <c r="I12" s="74"/>
      <c r="J12" s="74"/>
      <c r="K12" s="631"/>
      <c r="L12" s="74"/>
      <c r="M12" s="626" t="s">
        <v>101</v>
      </c>
      <c r="N12" s="74"/>
      <c r="O12" s="632">
        <v>3</v>
      </c>
      <c r="P12" s="628"/>
      <c r="Q12" s="633"/>
      <c r="R12" s="634">
        <v>3</v>
      </c>
      <c r="S12" s="634" t="s">
        <v>101</v>
      </c>
      <c r="T12" s="74"/>
      <c r="U12" s="70"/>
      <c r="V12" s="70"/>
      <c r="W12" s="91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645"/>
      <c r="BC12" s="76">
        <f t="shared" si="3"/>
        <v>3</v>
      </c>
      <c r="BD12" s="77">
        <f t="shared" si="4"/>
        <v>0</v>
      </c>
      <c r="BE12" s="77">
        <f t="shared" si="5"/>
        <v>2</v>
      </c>
    </row>
    <row r="13" spans="1:57" ht="16.5" customHeight="1">
      <c r="A13" s="144" t="s">
        <v>63</v>
      </c>
      <c r="B13" s="150" t="s">
        <v>64</v>
      </c>
      <c r="C13" s="108" t="s">
        <v>36</v>
      </c>
      <c r="D13" s="108"/>
      <c r="E13" s="108" t="s">
        <v>36</v>
      </c>
      <c r="F13" s="108"/>
      <c r="G13" s="620"/>
      <c r="H13" s="613">
        <v>2</v>
      </c>
      <c r="I13" s="108"/>
      <c r="J13" s="108"/>
      <c r="K13" s="620"/>
      <c r="L13" s="108"/>
      <c r="M13" s="613" t="s">
        <v>101</v>
      </c>
      <c r="N13" s="108" t="s">
        <v>46</v>
      </c>
      <c r="O13" s="621">
        <v>2</v>
      </c>
      <c r="P13" s="615"/>
      <c r="Q13" s="622" t="s">
        <v>46</v>
      </c>
      <c r="R13" s="623" t="s">
        <v>352</v>
      </c>
      <c r="S13" s="623">
        <v>2</v>
      </c>
      <c r="T13" s="108" t="s">
        <v>46</v>
      </c>
      <c r="U13" s="96" t="s">
        <v>46</v>
      </c>
      <c r="V13" s="96"/>
      <c r="W13" s="646">
        <v>3</v>
      </c>
      <c r="X13" s="96">
        <v>4</v>
      </c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238"/>
      <c r="AT13" s="96"/>
      <c r="AU13" s="96"/>
      <c r="AV13" s="96"/>
      <c r="AW13" s="96"/>
      <c r="AX13" s="96"/>
      <c r="AY13" s="96"/>
      <c r="AZ13" s="96"/>
      <c r="BA13" s="96"/>
      <c r="BB13" s="643"/>
      <c r="BC13" s="76">
        <f t="shared" si="3"/>
        <v>2.6</v>
      </c>
      <c r="BD13" s="77">
        <f t="shared" si="4"/>
        <v>0</v>
      </c>
      <c r="BE13" s="77">
        <f t="shared" si="5"/>
        <v>4</v>
      </c>
    </row>
    <row r="14" spans="1:57" ht="16.5" customHeight="1">
      <c r="A14" s="146" t="s">
        <v>65</v>
      </c>
      <c r="B14" s="151" t="s">
        <v>66</v>
      </c>
      <c r="C14" s="101"/>
      <c r="D14" s="101"/>
      <c r="E14" s="101"/>
      <c r="F14" s="101" t="s">
        <v>46</v>
      </c>
      <c r="G14" s="647" t="s">
        <v>46</v>
      </c>
      <c r="H14" s="648">
        <v>3</v>
      </c>
      <c r="I14" s="101"/>
      <c r="J14" s="101"/>
      <c r="K14" s="647"/>
      <c r="L14" s="101"/>
      <c r="M14" s="648">
        <v>4</v>
      </c>
      <c r="N14" s="101"/>
      <c r="O14" s="649">
        <v>2</v>
      </c>
      <c r="P14" s="650"/>
      <c r="Q14" s="651"/>
      <c r="R14" s="652">
        <v>3</v>
      </c>
      <c r="S14" s="652" t="s">
        <v>101</v>
      </c>
      <c r="T14" s="101" t="s">
        <v>46</v>
      </c>
      <c r="U14" s="103"/>
      <c r="V14" s="103"/>
      <c r="W14" s="653">
        <v>3</v>
      </c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654"/>
      <c r="BC14" s="76">
        <f t="shared" si="3"/>
        <v>3</v>
      </c>
      <c r="BD14" s="77">
        <f t="shared" si="4"/>
        <v>0</v>
      </c>
      <c r="BE14" s="77">
        <f t="shared" si="5"/>
        <v>3</v>
      </c>
    </row>
    <row r="15" spans="1:57" ht="16.5" customHeight="1">
      <c r="A15" s="149" t="s">
        <v>67</v>
      </c>
      <c r="B15" s="150" t="s">
        <v>68</v>
      </c>
      <c r="C15" s="108"/>
      <c r="D15" s="108"/>
      <c r="E15" s="108"/>
      <c r="F15" s="108"/>
      <c r="G15" s="620"/>
      <c r="H15" s="613">
        <v>3</v>
      </c>
      <c r="I15" s="108"/>
      <c r="J15" s="108"/>
      <c r="K15" s="620"/>
      <c r="L15" s="108"/>
      <c r="M15" s="613">
        <v>3</v>
      </c>
      <c r="N15" s="108"/>
      <c r="O15" s="621">
        <v>2</v>
      </c>
      <c r="P15" s="615"/>
      <c r="Q15" s="622"/>
      <c r="R15" s="623">
        <v>3</v>
      </c>
      <c r="S15" s="623">
        <v>3</v>
      </c>
      <c r="T15" s="108" t="s">
        <v>350</v>
      </c>
      <c r="U15" s="96"/>
      <c r="V15" s="96"/>
      <c r="W15" s="646">
        <v>3</v>
      </c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643"/>
      <c r="BC15" s="76">
        <f t="shared" si="3"/>
        <v>2.8333333333333335</v>
      </c>
      <c r="BD15" s="77">
        <f t="shared" si="4"/>
        <v>0</v>
      </c>
      <c r="BE15" s="77">
        <f t="shared" si="5"/>
        <v>0</v>
      </c>
    </row>
    <row r="16" spans="1:57" ht="16.5" customHeight="1">
      <c r="A16" s="144" t="s">
        <v>69</v>
      </c>
      <c r="B16" s="137" t="s">
        <v>70</v>
      </c>
      <c r="C16" s="74" t="s">
        <v>350</v>
      </c>
      <c r="D16" s="74" t="s">
        <v>350</v>
      </c>
      <c r="E16" s="74"/>
      <c r="F16" s="74"/>
      <c r="G16" s="625"/>
      <c r="H16" s="626">
        <v>2</v>
      </c>
      <c r="I16" s="70" t="s">
        <v>48</v>
      </c>
      <c r="J16" s="70" t="s">
        <v>48</v>
      </c>
      <c r="K16" s="655"/>
      <c r="L16" s="74"/>
      <c r="M16" s="626" t="s">
        <v>101</v>
      </c>
      <c r="N16" s="74"/>
      <c r="O16" s="627">
        <v>3</v>
      </c>
      <c r="P16" s="628"/>
      <c r="Q16" s="629" t="s">
        <v>46</v>
      </c>
      <c r="R16" s="630">
        <v>2</v>
      </c>
      <c r="S16" s="630" t="s">
        <v>46</v>
      </c>
      <c r="T16" s="74"/>
      <c r="U16" s="70" t="s">
        <v>36</v>
      </c>
      <c r="V16" s="70"/>
      <c r="W16" s="91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645"/>
      <c r="BC16" s="76">
        <f t="shared" si="3"/>
        <v>2.3333333333333335</v>
      </c>
      <c r="BD16" s="77">
        <f t="shared" si="4"/>
        <v>2</v>
      </c>
      <c r="BE16" s="77">
        <f t="shared" si="5"/>
        <v>2</v>
      </c>
    </row>
    <row r="17" spans="1:57" ht="16.5" customHeight="1">
      <c r="A17" s="144" t="s">
        <v>71</v>
      </c>
      <c r="B17" s="137" t="s">
        <v>72</v>
      </c>
      <c r="C17" s="74"/>
      <c r="D17" s="74" t="s">
        <v>353</v>
      </c>
      <c r="E17" s="74" t="s">
        <v>46</v>
      </c>
      <c r="F17" s="74" t="s">
        <v>46</v>
      </c>
      <c r="G17" s="631"/>
      <c r="H17" s="626">
        <v>3</v>
      </c>
      <c r="I17" s="74"/>
      <c r="J17" s="74"/>
      <c r="K17" s="631"/>
      <c r="L17" s="74" t="s">
        <v>36</v>
      </c>
      <c r="M17" s="626" t="s">
        <v>101</v>
      </c>
      <c r="N17" s="74"/>
      <c r="O17" s="632">
        <v>4</v>
      </c>
      <c r="P17" s="628"/>
      <c r="Q17" s="633" t="s">
        <v>46</v>
      </c>
      <c r="R17" s="634" t="s">
        <v>46</v>
      </c>
      <c r="S17" s="634" t="s">
        <v>46</v>
      </c>
      <c r="T17" s="74" t="s">
        <v>350</v>
      </c>
      <c r="U17" s="70"/>
      <c r="V17" s="70"/>
      <c r="W17" s="91"/>
      <c r="X17" s="70" t="s">
        <v>46</v>
      </c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645"/>
      <c r="BC17" s="76">
        <f t="shared" si="3"/>
        <v>3.5</v>
      </c>
      <c r="BD17" s="77">
        <f t="shared" si="4"/>
        <v>0</v>
      </c>
      <c r="BE17" s="77">
        <f t="shared" si="5"/>
        <v>6</v>
      </c>
    </row>
    <row r="18" spans="1:57" ht="16.5" customHeight="1">
      <c r="A18" s="144" t="s">
        <v>73</v>
      </c>
      <c r="B18" s="150" t="s">
        <v>74</v>
      </c>
      <c r="C18" s="108"/>
      <c r="D18" s="108"/>
      <c r="E18" s="108"/>
      <c r="F18" s="108"/>
      <c r="G18" s="620" t="s">
        <v>36</v>
      </c>
      <c r="H18" s="613">
        <v>2</v>
      </c>
      <c r="I18" s="108"/>
      <c r="J18" s="108"/>
      <c r="K18" s="620"/>
      <c r="L18" s="108"/>
      <c r="M18" s="613" t="s">
        <v>101</v>
      </c>
      <c r="N18" s="108" t="s">
        <v>46</v>
      </c>
      <c r="O18" s="621">
        <v>3</v>
      </c>
      <c r="P18" s="615"/>
      <c r="Q18" s="622" t="s">
        <v>36</v>
      </c>
      <c r="R18" s="623">
        <v>2</v>
      </c>
      <c r="S18" s="623">
        <v>2</v>
      </c>
      <c r="T18" s="108" t="s">
        <v>46</v>
      </c>
      <c r="U18" s="96" t="s">
        <v>46</v>
      </c>
      <c r="V18" s="96"/>
      <c r="W18" s="35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643"/>
      <c r="BC18" s="76">
        <f t="shared" si="3"/>
        <v>2.25</v>
      </c>
      <c r="BD18" s="77">
        <f t="shared" si="4"/>
        <v>0</v>
      </c>
      <c r="BE18" s="77">
        <f t="shared" si="5"/>
        <v>3</v>
      </c>
    </row>
    <row r="19" spans="1:57" ht="16.5" customHeight="1">
      <c r="A19" s="146" t="s">
        <v>75</v>
      </c>
      <c r="B19" s="151" t="s">
        <v>76</v>
      </c>
      <c r="C19" s="101"/>
      <c r="D19" s="101"/>
      <c r="E19" s="101" t="s">
        <v>350</v>
      </c>
      <c r="F19" s="101"/>
      <c r="G19" s="647" t="s">
        <v>350</v>
      </c>
      <c r="H19" s="648">
        <v>3</v>
      </c>
      <c r="I19" s="101"/>
      <c r="J19" s="101"/>
      <c r="K19" s="647"/>
      <c r="L19" s="101"/>
      <c r="M19" s="648" t="s">
        <v>101</v>
      </c>
      <c r="N19" s="101"/>
      <c r="O19" s="649">
        <v>2</v>
      </c>
      <c r="P19" s="650"/>
      <c r="Q19" s="651" t="s">
        <v>36</v>
      </c>
      <c r="R19" s="652">
        <v>3</v>
      </c>
      <c r="S19" s="652" t="s">
        <v>101</v>
      </c>
      <c r="T19" s="101"/>
      <c r="U19" s="103"/>
      <c r="V19" s="103"/>
      <c r="W19" s="653">
        <v>3</v>
      </c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654"/>
      <c r="BC19" s="76">
        <f t="shared" si="3"/>
        <v>2.75</v>
      </c>
      <c r="BD19" s="77">
        <f t="shared" si="4"/>
        <v>0</v>
      </c>
      <c r="BE19" s="77">
        <f t="shared" si="5"/>
        <v>0</v>
      </c>
    </row>
    <row r="20" spans="1:57" ht="16.5" customHeight="1">
      <c r="A20" s="149" t="s">
        <v>77</v>
      </c>
      <c r="B20" s="150" t="s">
        <v>78</v>
      </c>
      <c r="C20" s="108"/>
      <c r="D20" s="108"/>
      <c r="E20" s="108"/>
      <c r="F20" s="108"/>
      <c r="G20" s="620"/>
      <c r="H20" s="613">
        <v>3</v>
      </c>
      <c r="I20" s="108"/>
      <c r="J20" s="108"/>
      <c r="K20" s="620"/>
      <c r="L20" s="108"/>
      <c r="M20" s="613" t="s">
        <v>46</v>
      </c>
      <c r="N20" s="108"/>
      <c r="O20" s="621">
        <v>3</v>
      </c>
      <c r="P20" s="615"/>
      <c r="Q20" s="622"/>
      <c r="R20" s="623">
        <v>2</v>
      </c>
      <c r="S20" s="623" t="s">
        <v>46</v>
      </c>
      <c r="T20" s="108"/>
      <c r="U20" s="96"/>
      <c r="V20" s="96"/>
      <c r="W20" s="35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643"/>
      <c r="BC20" s="76">
        <f t="shared" si="3"/>
        <v>2.6666666666666665</v>
      </c>
      <c r="BD20" s="77">
        <f t="shared" si="4"/>
        <v>0</v>
      </c>
      <c r="BE20" s="77">
        <f t="shared" si="5"/>
        <v>2</v>
      </c>
    </row>
    <row r="21" spans="1:57" ht="16.5" customHeight="1">
      <c r="A21" s="144" t="s">
        <v>79</v>
      </c>
      <c r="B21" s="137" t="s">
        <v>80</v>
      </c>
      <c r="C21" s="74"/>
      <c r="D21" s="74"/>
      <c r="E21" s="74"/>
      <c r="F21" s="74"/>
      <c r="G21" s="625" t="s">
        <v>36</v>
      </c>
      <c r="H21" s="626">
        <v>3</v>
      </c>
      <c r="I21" s="74" t="s">
        <v>36</v>
      </c>
      <c r="J21" s="74"/>
      <c r="K21" s="625"/>
      <c r="L21" s="74" t="s">
        <v>36</v>
      </c>
      <c r="M21" s="626" t="s">
        <v>101</v>
      </c>
      <c r="N21" s="187">
        <v>4</v>
      </c>
      <c r="O21" s="627">
        <v>2</v>
      </c>
      <c r="P21" s="628"/>
      <c r="Q21" s="629"/>
      <c r="R21" s="630">
        <v>2</v>
      </c>
      <c r="S21" s="630">
        <v>2</v>
      </c>
      <c r="T21" s="74"/>
      <c r="U21" s="70" t="s">
        <v>46</v>
      </c>
      <c r="V21" s="70"/>
      <c r="W21" s="644">
        <v>3</v>
      </c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645"/>
      <c r="BC21" s="76">
        <f t="shared" si="3"/>
        <v>2.6666666666666665</v>
      </c>
      <c r="BD21" s="77">
        <f t="shared" si="4"/>
        <v>0</v>
      </c>
      <c r="BE21" s="77">
        <f t="shared" si="5"/>
        <v>1</v>
      </c>
    </row>
    <row r="22" spans="1:57" ht="16.5" customHeight="1">
      <c r="A22" s="144" t="s">
        <v>81</v>
      </c>
      <c r="B22" s="137" t="s">
        <v>82</v>
      </c>
      <c r="C22" s="74"/>
      <c r="D22" s="74"/>
      <c r="E22" s="74"/>
      <c r="F22" s="74"/>
      <c r="G22" s="631"/>
      <c r="H22" s="626">
        <v>3</v>
      </c>
      <c r="I22" s="74"/>
      <c r="J22" s="74"/>
      <c r="K22" s="631"/>
      <c r="L22" s="74"/>
      <c r="M22" s="626">
        <v>3</v>
      </c>
      <c r="N22" s="74"/>
      <c r="O22" s="632">
        <v>3</v>
      </c>
      <c r="P22" s="628"/>
      <c r="Q22" s="633"/>
      <c r="R22" s="634">
        <v>3</v>
      </c>
      <c r="S22" s="634">
        <v>3</v>
      </c>
      <c r="T22" s="74"/>
      <c r="U22" s="70"/>
      <c r="V22" s="70" t="s">
        <v>46</v>
      </c>
      <c r="W22" s="91"/>
      <c r="X22" s="70" t="s">
        <v>351</v>
      </c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645"/>
      <c r="BC22" s="76">
        <f t="shared" si="3"/>
        <v>3</v>
      </c>
      <c r="BD22" s="77">
        <f t="shared" si="4"/>
        <v>0</v>
      </c>
      <c r="BE22" s="77">
        <f t="shared" si="5"/>
        <v>1</v>
      </c>
    </row>
    <row r="23" spans="1:57" ht="16.5" customHeight="1">
      <c r="A23" s="144" t="s">
        <v>83</v>
      </c>
      <c r="B23" s="150" t="s">
        <v>84</v>
      </c>
      <c r="C23" s="108"/>
      <c r="D23" s="108"/>
      <c r="E23" s="108"/>
      <c r="F23" s="108"/>
      <c r="G23" s="620" t="s">
        <v>36</v>
      </c>
      <c r="H23" s="613">
        <v>5</v>
      </c>
      <c r="I23" s="108" t="s">
        <v>46</v>
      </c>
      <c r="J23" s="108" t="s">
        <v>46</v>
      </c>
      <c r="K23" s="620" t="s">
        <v>46</v>
      </c>
      <c r="L23" s="108" t="s">
        <v>46</v>
      </c>
      <c r="M23" s="613" t="s">
        <v>46</v>
      </c>
      <c r="N23" s="108"/>
      <c r="O23" s="621">
        <v>4</v>
      </c>
      <c r="P23" s="615"/>
      <c r="Q23" s="622" t="s">
        <v>46</v>
      </c>
      <c r="R23" s="623" t="s">
        <v>46</v>
      </c>
      <c r="S23" s="623">
        <v>2</v>
      </c>
      <c r="T23" s="108" t="s">
        <v>36</v>
      </c>
      <c r="U23" s="96" t="s">
        <v>46</v>
      </c>
      <c r="V23" s="96" t="s">
        <v>46</v>
      </c>
      <c r="W23" s="356"/>
      <c r="X23" s="96">
        <v>4</v>
      </c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643"/>
      <c r="BC23" s="76">
        <f t="shared" si="3"/>
        <v>3.75</v>
      </c>
      <c r="BD23" s="77">
        <f t="shared" si="4"/>
        <v>0</v>
      </c>
      <c r="BE23" s="77">
        <f t="shared" si="5"/>
        <v>9</v>
      </c>
    </row>
    <row r="24" spans="1:57" ht="16.5" customHeight="1">
      <c r="A24" s="154" t="s">
        <v>27</v>
      </c>
      <c r="B24" s="151" t="s">
        <v>85</v>
      </c>
      <c r="C24" s="101"/>
      <c r="D24" s="101"/>
      <c r="E24" s="101"/>
      <c r="F24" s="101"/>
      <c r="G24" s="647"/>
      <c r="H24" s="648">
        <v>3</v>
      </c>
      <c r="I24" s="101"/>
      <c r="J24" s="101"/>
      <c r="K24" s="647"/>
      <c r="L24" s="101"/>
      <c r="M24" s="648" t="s">
        <v>101</v>
      </c>
      <c r="N24" s="101"/>
      <c r="O24" s="649">
        <v>3</v>
      </c>
      <c r="P24" s="650"/>
      <c r="Q24" s="651"/>
      <c r="R24" s="652">
        <v>3</v>
      </c>
      <c r="S24" s="652">
        <v>3</v>
      </c>
      <c r="T24" s="101"/>
      <c r="U24" s="103"/>
      <c r="V24" s="103"/>
      <c r="W24" s="656"/>
      <c r="X24" s="103" t="s">
        <v>351</v>
      </c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654"/>
      <c r="BC24" s="76">
        <f t="shared" si="3"/>
        <v>3</v>
      </c>
      <c r="BD24" s="77">
        <f t="shared" si="4"/>
        <v>0</v>
      </c>
      <c r="BE24" s="77">
        <f t="shared" si="5"/>
        <v>0</v>
      </c>
    </row>
    <row r="25" spans="1:57" ht="16.5" customHeight="1">
      <c r="A25" s="156" t="s">
        <v>86</v>
      </c>
      <c r="B25" s="150" t="s">
        <v>87</v>
      </c>
      <c r="C25" s="108"/>
      <c r="D25" s="108"/>
      <c r="E25" s="108"/>
      <c r="F25" s="108" t="s">
        <v>36</v>
      </c>
      <c r="G25" s="620" t="s">
        <v>46</v>
      </c>
      <c r="H25" s="613">
        <v>2</v>
      </c>
      <c r="I25" s="108" t="s">
        <v>46</v>
      </c>
      <c r="J25" s="108" t="s">
        <v>46</v>
      </c>
      <c r="K25" s="620" t="s">
        <v>46</v>
      </c>
      <c r="L25" s="108"/>
      <c r="M25" s="657" t="s">
        <v>46</v>
      </c>
      <c r="N25" s="157" t="s">
        <v>48</v>
      </c>
      <c r="O25" s="621">
        <v>4</v>
      </c>
      <c r="P25" s="615"/>
      <c r="Q25" s="622"/>
      <c r="R25" s="623">
        <v>2</v>
      </c>
      <c r="S25" s="623">
        <v>2</v>
      </c>
      <c r="T25" s="108" t="s">
        <v>46</v>
      </c>
      <c r="U25" s="96" t="s">
        <v>46</v>
      </c>
      <c r="V25" s="96"/>
      <c r="W25" s="356"/>
      <c r="X25" s="96" t="s">
        <v>46</v>
      </c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643"/>
      <c r="BC25" s="76">
        <f t="shared" si="3"/>
        <v>2.5</v>
      </c>
      <c r="BD25" s="77">
        <f t="shared" si="4"/>
        <v>1</v>
      </c>
      <c r="BE25" s="77">
        <f t="shared" si="5"/>
        <v>8</v>
      </c>
    </row>
    <row r="26" spans="1:57" ht="16.5" hidden="1" customHeight="1">
      <c r="A26" s="139" t="s">
        <v>86</v>
      </c>
      <c r="B26" s="137" t="s">
        <v>88</v>
      </c>
      <c r="C26" s="74"/>
      <c r="D26" s="74"/>
      <c r="E26" s="74"/>
      <c r="F26" s="74"/>
      <c r="G26" s="625"/>
      <c r="H26" s="658"/>
      <c r="I26" s="74"/>
      <c r="J26" s="74"/>
      <c r="K26" s="625"/>
      <c r="L26" s="74"/>
      <c r="M26" s="626"/>
      <c r="N26" s="108"/>
      <c r="O26" s="627"/>
      <c r="P26" s="628"/>
      <c r="Q26" s="629"/>
      <c r="R26" s="630"/>
      <c r="S26" s="630"/>
      <c r="T26" s="74"/>
      <c r="U26" s="70"/>
      <c r="V26" s="70"/>
      <c r="W26" s="91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645"/>
      <c r="BC26" s="76" t="str">
        <f t="shared" si="3"/>
        <v>Нет оценок</v>
      </c>
      <c r="BD26" s="77">
        <f t="shared" si="4"/>
        <v>0</v>
      </c>
      <c r="BE26" s="77">
        <f t="shared" si="5"/>
        <v>0</v>
      </c>
    </row>
    <row r="27" spans="1:57" ht="16.5" customHeight="1">
      <c r="A27" s="139" t="s">
        <v>89</v>
      </c>
      <c r="B27" s="137" t="s">
        <v>90</v>
      </c>
      <c r="C27" s="95"/>
      <c r="D27" s="95"/>
      <c r="E27" s="95"/>
      <c r="F27" s="499"/>
      <c r="G27" s="659" t="s">
        <v>48</v>
      </c>
      <c r="H27" s="630">
        <v>3</v>
      </c>
      <c r="I27" s="95" t="s">
        <v>46</v>
      </c>
      <c r="J27" s="95" t="s">
        <v>46</v>
      </c>
      <c r="K27" s="625"/>
      <c r="L27" s="95"/>
      <c r="M27" s="658" t="s">
        <v>101</v>
      </c>
      <c r="N27" s="95"/>
      <c r="O27" s="627">
        <v>3</v>
      </c>
      <c r="P27" s="660"/>
      <c r="Q27" s="629"/>
      <c r="R27" s="630">
        <v>2</v>
      </c>
      <c r="S27" s="630" t="s">
        <v>46</v>
      </c>
      <c r="T27" s="95"/>
      <c r="U27" s="73"/>
      <c r="V27" s="73"/>
      <c r="W27" s="365"/>
      <c r="X27" s="73" t="s">
        <v>46</v>
      </c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661"/>
      <c r="BC27" s="76">
        <f t="shared" si="3"/>
        <v>2.6666666666666665</v>
      </c>
      <c r="BD27" s="77">
        <f t="shared" si="4"/>
        <v>1</v>
      </c>
      <c r="BE27" s="77">
        <f t="shared" si="5"/>
        <v>4</v>
      </c>
    </row>
    <row r="28" spans="1:57" ht="17.25" customHeight="1">
      <c r="A28" s="139" t="s">
        <v>91</v>
      </c>
      <c r="B28" s="137" t="s">
        <v>92</v>
      </c>
      <c r="C28" s="74"/>
      <c r="D28" s="70"/>
      <c r="E28" s="70" t="s">
        <v>36</v>
      </c>
      <c r="F28" s="70"/>
      <c r="G28" s="625" t="s">
        <v>36</v>
      </c>
      <c r="H28" s="662">
        <v>2</v>
      </c>
      <c r="I28" s="70" t="s">
        <v>350</v>
      </c>
      <c r="J28" s="70" t="s">
        <v>350</v>
      </c>
      <c r="K28" s="625"/>
      <c r="L28" s="70"/>
      <c r="M28" s="663" t="s">
        <v>101</v>
      </c>
      <c r="N28" s="70" t="s">
        <v>46</v>
      </c>
      <c r="O28" s="627">
        <v>3</v>
      </c>
      <c r="P28" s="236"/>
      <c r="Q28" s="629" t="s">
        <v>36</v>
      </c>
      <c r="R28" s="630">
        <v>2</v>
      </c>
      <c r="S28" s="630">
        <v>2</v>
      </c>
      <c r="T28" s="74" t="s">
        <v>36</v>
      </c>
      <c r="U28" s="70" t="s">
        <v>46</v>
      </c>
      <c r="V28" s="70" t="s">
        <v>46</v>
      </c>
      <c r="W28" s="91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97"/>
      <c r="BC28" s="76">
        <f t="shared" si="3"/>
        <v>2.25</v>
      </c>
      <c r="BD28" s="77">
        <f t="shared" si="4"/>
        <v>0</v>
      </c>
      <c r="BE28" s="77">
        <f t="shared" si="5"/>
        <v>3</v>
      </c>
    </row>
    <row r="29" spans="1:57">
      <c r="A29" s="165" t="s">
        <v>93</v>
      </c>
      <c r="B29" s="165" t="s">
        <v>94</v>
      </c>
      <c r="G29" s="664" t="s">
        <v>354</v>
      </c>
      <c r="H29" s="665" t="s">
        <v>354</v>
      </c>
      <c r="I29" s="143"/>
      <c r="J29" s="143"/>
      <c r="K29" s="664" t="s">
        <v>355</v>
      </c>
      <c r="L29" s="143"/>
      <c r="M29" s="665" t="s">
        <v>355</v>
      </c>
      <c r="N29" s="143"/>
      <c r="O29" s="627" t="s">
        <v>356</v>
      </c>
      <c r="P29" s="591"/>
      <c r="Q29" s="666" t="s">
        <v>357</v>
      </c>
      <c r="R29" s="630" t="s">
        <v>357</v>
      </c>
      <c r="S29" s="630" t="s">
        <v>357</v>
      </c>
      <c r="W29" s="667" t="s">
        <v>356</v>
      </c>
      <c r="BC29" s="127">
        <f>IFERROR(AVERAGE(BC5:BC28),"")</f>
        <v>2.825362318840579</v>
      </c>
      <c r="BD29" s="128">
        <f>SUM(BD5:BD28)</f>
        <v>4</v>
      </c>
      <c r="BE29" s="128">
        <f>SUM(BE5:BE28)</f>
        <v>72</v>
      </c>
    </row>
    <row r="30" spans="1:57">
      <c r="A30" s="668">
        <v>45917</v>
      </c>
      <c r="B30" s="669" t="s">
        <v>358</v>
      </c>
    </row>
    <row r="31" spans="1:57">
      <c r="A31" s="668">
        <v>45917</v>
      </c>
      <c r="B31" s="670" t="s">
        <v>359</v>
      </c>
    </row>
    <row r="32" spans="1:57">
      <c r="A32" s="671" t="s">
        <v>360</v>
      </c>
      <c r="B32" s="672" t="s">
        <v>361</v>
      </c>
    </row>
    <row r="33" spans="1:2" ht="29.25">
      <c r="A33" s="673" t="s">
        <v>362</v>
      </c>
      <c r="B33" s="674" t="s">
        <v>363</v>
      </c>
    </row>
    <row r="34" spans="1:2">
      <c r="A34" s="673" t="s">
        <v>364</v>
      </c>
      <c r="B34" s="674" t="s">
        <v>365</v>
      </c>
    </row>
    <row r="35" spans="1:2">
      <c r="A35" s="673" t="s">
        <v>366</v>
      </c>
      <c r="B35" s="674" t="s">
        <v>365</v>
      </c>
    </row>
    <row r="36" spans="1:2" ht="29.25">
      <c r="A36" s="673">
        <v>45982</v>
      </c>
      <c r="B36" s="293" t="s">
        <v>367</v>
      </c>
    </row>
    <row r="37" spans="1:2" ht="29.25">
      <c r="A37" s="673">
        <v>45982</v>
      </c>
      <c r="B37" s="293" t="s">
        <v>368</v>
      </c>
    </row>
    <row r="38" spans="1:2">
      <c r="A38" s="675">
        <v>45988</v>
      </c>
      <c r="B38" s="674" t="s">
        <v>369</v>
      </c>
    </row>
    <row r="39" spans="1:2">
      <c r="A39" s="675">
        <v>45989</v>
      </c>
      <c r="B39" s="676" t="s">
        <v>370</v>
      </c>
    </row>
    <row r="40" spans="1:2">
      <c r="A40" s="675">
        <v>45989</v>
      </c>
      <c r="B40" s="674" t="s">
        <v>369</v>
      </c>
    </row>
    <row r="41" spans="1:2" ht="43.5">
      <c r="A41" s="675">
        <v>45994</v>
      </c>
      <c r="B41" s="674" t="s">
        <v>371</v>
      </c>
    </row>
    <row r="42" spans="1:2">
      <c r="A42" s="677">
        <v>46000</v>
      </c>
      <c r="B42" s="678" t="s">
        <v>258</v>
      </c>
    </row>
    <row r="43" spans="1:2" s="590" customFormat="1" ht="8.25" customHeight="1">
      <c r="A43" s="679"/>
      <c r="B43" s="680"/>
    </row>
    <row r="44" spans="1:2" ht="29.25">
      <c r="A44" s="681">
        <v>46059</v>
      </c>
      <c r="B44" s="674" t="s">
        <v>372</v>
      </c>
    </row>
    <row r="45" spans="1:2" ht="29.25">
      <c r="A45" s="681">
        <v>46083</v>
      </c>
      <c r="B45" s="674" t="s">
        <v>373</v>
      </c>
    </row>
    <row r="46" spans="1:2" ht="29.25">
      <c r="A46" s="681">
        <v>46085</v>
      </c>
      <c r="B46" s="674" t="s">
        <v>374</v>
      </c>
    </row>
    <row r="47" spans="1:2">
      <c r="A47" s="681">
        <v>46086</v>
      </c>
      <c r="B47" s="676" t="s">
        <v>375</v>
      </c>
    </row>
    <row r="48" spans="1:2">
      <c r="A48" s="682">
        <v>46087</v>
      </c>
      <c r="B48" s="676" t="s">
        <v>376</v>
      </c>
    </row>
    <row r="49" spans="1:2">
      <c r="A49" s="682">
        <v>46093</v>
      </c>
      <c r="B49" s="676" t="s">
        <v>377</v>
      </c>
    </row>
    <row r="50" spans="1:2">
      <c r="A50" s="682">
        <v>46093</v>
      </c>
      <c r="B50" s="676" t="s">
        <v>378</v>
      </c>
    </row>
    <row r="51" spans="1:2">
      <c r="A51" s="682">
        <v>46118</v>
      </c>
      <c r="B51" s="676" t="s">
        <v>379</v>
      </c>
    </row>
    <row r="52" spans="1:2">
      <c r="A52" s="166"/>
      <c r="B52" s="166"/>
    </row>
    <row r="53" spans="1:2">
      <c r="A53" s="166"/>
      <c r="B53" s="166"/>
    </row>
    <row r="54" spans="1:2">
      <c r="A54" s="166"/>
      <c r="B54" s="166"/>
    </row>
    <row r="55" spans="1:2">
      <c r="A55" s="166"/>
      <c r="B55" s="166"/>
    </row>
    <row r="56" spans="1:2">
      <c r="A56" s="166"/>
      <c r="B56" s="166"/>
    </row>
    <row r="57" spans="1:2">
      <c r="A57" s="166"/>
      <c r="B57" s="166"/>
    </row>
    <row r="58" spans="1:2">
      <c r="A58" s="166"/>
      <c r="B58" s="166"/>
    </row>
    <row r="59" spans="1:2">
      <c r="A59" s="166"/>
      <c r="B59" s="166"/>
    </row>
    <row r="60" spans="1:2">
      <c r="A60" s="166"/>
      <c r="B60" s="166"/>
    </row>
    <row r="61" spans="1:2">
      <c r="A61" s="166"/>
      <c r="B61" s="166"/>
    </row>
    <row r="62" spans="1:2">
      <c r="A62" s="166"/>
      <c r="B62" s="166"/>
    </row>
    <row r="63" spans="1:2">
      <c r="A63" s="166"/>
      <c r="B63" s="166"/>
    </row>
    <row r="64" spans="1:2">
      <c r="A64" s="166"/>
      <c r="B64" s="166"/>
    </row>
    <row r="65" spans="1:2">
      <c r="A65" s="166"/>
      <c r="B65" s="166"/>
    </row>
    <row r="66" spans="1:2">
      <c r="A66" s="166"/>
      <c r="B66" s="166"/>
    </row>
  </sheetData>
  <mergeCells count="6">
    <mergeCell ref="BD3:BE3"/>
    <mergeCell ref="A1:B1"/>
    <mergeCell ref="C1:BA1"/>
    <mergeCell ref="A2:B2"/>
    <mergeCell ref="C2:BA2"/>
    <mergeCell ref="A3:A4"/>
  </mergeCells>
  <conditionalFormatting sqref="BE5:BE28">
    <cfRule type="cellIs" dxfId="58" priority="2" operator="greaterThan">
      <formula>0</formula>
    </cfRule>
  </conditionalFormatting>
  <conditionalFormatting sqref="BC5:BC29">
    <cfRule type="cellIs" dxfId="57" priority="1" operator="lessThan">
      <formula>3</formula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66"/>
  <sheetViews>
    <sheetView zoomScale="85"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customWidth="1"/>
    <col min="2" max="2" width="34.44140625" customWidth="1"/>
    <col min="3" max="34" width="2.77734375" customWidth="1"/>
    <col min="35" max="35" width="6.33203125" customWidth="1"/>
    <col min="36" max="36" width="10.6640625" customWidth="1"/>
    <col min="37" max="38" width="8.109375" customWidth="1"/>
  </cols>
  <sheetData>
    <row r="1" spans="1:38" ht="27.75">
      <c r="A1" s="1277" t="s">
        <v>38</v>
      </c>
      <c r="B1" s="1277"/>
      <c r="C1" s="1327" t="s">
        <v>17</v>
      </c>
      <c r="D1" s="1327"/>
      <c r="E1" s="1327"/>
      <c r="F1" s="1327"/>
      <c r="G1" s="1327"/>
      <c r="H1" s="1327"/>
      <c r="I1" s="1327"/>
      <c r="J1" s="1327"/>
      <c r="K1" s="1327"/>
      <c r="L1" s="1327"/>
      <c r="M1" s="1327"/>
      <c r="N1" s="1327"/>
      <c r="O1" s="1327"/>
      <c r="P1" s="1327"/>
      <c r="Q1" s="1327"/>
      <c r="R1" s="1327"/>
      <c r="S1" s="1327"/>
      <c r="T1" s="1327"/>
      <c r="U1" s="1327"/>
      <c r="V1" s="1327"/>
      <c r="W1" s="1327"/>
      <c r="X1" s="1327"/>
      <c r="Y1" s="1327"/>
      <c r="Z1" s="1327"/>
      <c r="AA1" s="1327"/>
      <c r="AB1" s="1327"/>
      <c r="AC1" s="1327"/>
      <c r="AD1" s="1327"/>
      <c r="AE1" s="1327"/>
      <c r="AF1" s="1327"/>
      <c r="AG1" s="1327"/>
      <c r="AH1" s="1327"/>
      <c r="AI1" s="29"/>
    </row>
    <row r="2" spans="1:38" ht="27.75">
      <c r="A2" s="1277" t="s">
        <v>39</v>
      </c>
      <c r="B2" s="1277"/>
      <c r="C2" s="1277" t="s">
        <v>224</v>
      </c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1277"/>
      <c r="AD2" s="1277"/>
      <c r="AE2" s="1277"/>
      <c r="AF2" s="1277"/>
      <c r="AG2" s="1277"/>
      <c r="AH2" s="1277"/>
      <c r="AI2" s="31"/>
      <c r="AJ2" s="32"/>
      <c r="AK2" s="32"/>
      <c r="AL2" s="32"/>
    </row>
    <row r="3" spans="1:38" ht="15.75">
      <c r="A3" s="1281" t="s">
        <v>41</v>
      </c>
      <c r="B3" s="449" t="s">
        <v>42</v>
      </c>
      <c r="C3" s="1328" t="s">
        <v>146</v>
      </c>
      <c r="D3" s="1328"/>
      <c r="E3" s="1328"/>
      <c r="F3" s="1328"/>
      <c r="G3" s="1328"/>
      <c r="H3" s="1328"/>
      <c r="I3" s="1303" t="s">
        <v>147</v>
      </c>
      <c r="J3" s="1303"/>
      <c r="K3" s="1303"/>
      <c r="L3" s="1303"/>
      <c r="M3" s="1303"/>
      <c r="N3" s="1303"/>
      <c r="O3" s="1329" t="s">
        <v>148</v>
      </c>
      <c r="P3" s="1329"/>
      <c r="Q3" s="1329"/>
      <c r="R3" s="1329"/>
      <c r="S3" s="1330" t="s">
        <v>149</v>
      </c>
      <c r="T3" s="1331"/>
      <c r="U3" s="42"/>
      <c r="V3" s="42"/>
      <c r="W3" s="43"/>
      <c r="X3" s="42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4" t="s">
        <v>31</v>
      </c>
      <c r="AJ3" s="45"/>
      <c r="AK3" s="1278" t="s">
        <v>0</v>
      </c>
      <c r="AL3" s="1279"/>
    </row>
    <row r="4" spans="1:38" s="377" customFormat="1" ht="17.25" customHeight="1">
      <c r="A4" s="1282"/>
      <c r="B4" s="683" t="s">
        <v>43</v>
      </c>
      <c r="C4" s="684">
        <v>2</v>
      </c>
      <c r="D4" s="685">
        <v>4</v>
      </c>
      <c r="E4" s="685">
        <v>8</v>
      </c>
      <c r="F4" s="686">
        <v>16</v>
      </c>
      <c r="G4" s="686">
        <v>17</v>
      </c>
      <c r="H4" s="687">
        <v>26</v>
      </c>
      <c r="I4" s="684">
        <v>10</v>
      </c>
      <c r="J4" s="688">
        <v>15</v>
      </c>
      <c r="K4" s="688">
        <v>16</v>
      </c>
      <c r="L4" s="688">
        <v>17</v>
      </c>
      <c r="M4" s="689">
        <v>21</v>
      </c>
      <c r="N4" s="690">
        <v>29</v>
      </c>
      <c r="O4" s="691">
        <v>1</v>
      </c>
      <c r="P4" s="686">
        <v>11</v>
      </c>
      <c r="Q4" s="686">
        <v>19</v>
      </c>
      <c r="R4" s="692">
        <v>19</v>
      </c>
      <c r="S4" s="693">
        <v>2</v>
      </c>
      <c r="T4" s="690">
        <v>13</v>
      </c>
      <c r="U4" s="694"/>
      <c r="V4" s="694"/>
      <c r="W4" s="695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383" t="s">
        <v>32</v>
      </c>
      <c r="AJ4" s="384" t="s">
        <v>33</v>
      </c>
      <c r="AK4" s="385" t="s">
        <v>5</v>
      </c>
      <c r="AL4" s="385" t="s">
        <v>6</v>
      </c>
    </row>
    <row r="5" spans="1:38" ht="16.5" customHeight="1">
      <c r="A5" s="136" t="s">
        <v>44</v>
      </c>
      <c r="B5" s="319" t="s">
        <v>45</v>
      </c>
      <c r="C5" s="532"/>
      <c r="D5" s="108" t="s">
        <v>37</v>
      </c>
      <c r="E5" s="108" t="s">
        <v>37</v>
      </c>
      <c r="F5" s="108">
        <v>2</v>
      </c>
      <c r="G5" s="108"/>
      <c r="H5" s="696"/>
      <c r="I5" s="532"/>
      <c r="J5" s="108" t="s">
        <v>46</v>
      </c>
      <c r="K5" s="108">
        <v>3</v>
      </c>
      <c r="L5" s="108">
        <v>4</v>
      </c>
      <c r="M5" s="697">
        <v>2</v>
      </c>
      <c r="N5" s="696" t="s">
        <v>34</v>
      </c>
      <c r="O5" s="532"/>
      <c r="P5" s="108">
        <v>3</v>
      </c>
      <c r="Q5" s="108">
        <v>3</v>
      </c>
      <c r="R5" s="696">
        <v>3</v>
      </c>
      <c r="S5" s="78"/>
      <c r="T5" s="698" t="s">
        <v>46</v>
      </c>
      <c r="U5" s="74"/>
      <c r="V5" s="74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5">
        <v>2</v>
      </c>
      <c r="AJ5" s="76">
        <f t="shared" ref="AJ5:AJ9" si="0">IFERROR(AVERAGE(C5:AI5),"Нет оценок")</f>
        <v>2.75</v>
      </c>
      <c r="AK5" s="77">
        <f t="shared" ref="AK5:AK9" si="1">COUNTIF(C5:AI5,"н/у")</f>
        <v>0</v>
      </c>
      <c r="AL5" s="77">
        <f t="shared" ref="AL5:AL9" si="2">COUNTIF(C5:AI5,"н")</f>
        <v>2</v>
      </c>
    </row>
    <row r="6" spans="1:38" ht="16.5" customHeight="1">
      <c r="A6" s="139" t="s">
        <v>49</v>
      </c>
      <c r="B6" s="140" t="s">
        <v>50</v>
      </c>
      <c r="C6" s="532"/>
      <c r="D6" s="108" t="s">
        <v>37</v>
      </c>
      <c r="E6" s="699" t="s">
        <v>34</v>
      </c>
      <c r="F6" s="108"/>
      <c r="G6" s="108">
        <v>4</v>
      </c>
      <c r="H6" s="699" t="s">
        <v>34</v>
      </c>
      <c r="I6" s="485"/>
      <c r="J6" s="700" t="s">
        <v>35</v>
      </c>
      <c r="K6" s="700" t="s">
        <v>35</v>
      </c>
      <c r="L6" s="700" t="s">
        <v>35</v>
      </c>
      <c r="M6" s="701">
        <v>4</v>
      </c>
      <c r="N6" s="702" t="s">
        <v>34</v>
      </c>
      <c r="O6" s="532"/>
      <c r="P6" s="108">
        <v>4</v>
      </c>
      <c r="Q6" s="108" t="s">
        <v>36</v>
      </c>
      <c r="R6" s="696">
        <v>3</v>
      </c>
      <c r="S6" s="532"/>
      <c r="T6" s="696">
        <v>3</v>
      </c>
      <c r="U6" s="108"/>
      <c r="V6" s="108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396">
        <v>4</v>
      </c>
      <c r="AJ6" s="76">
        <f t="shared" si="0"/>
        <v>3.6666666666666665</v>
      </c>
      <c r="AK6" s="77">
        <f t="shared" si="1"/>
        <v>0</v>
      </c>
      <c r="AL6" s="77">
        <f t="shared" si="2"/>
        <v>0</v>
      </c>
    </row>
    <row r="7" spans="1:38" ht="16.5" customHeight="1">
      <c r="A7" s="204" t="s">
        <v>51</v>
      </c>
      <c r="B7" s="137" t="s">
        <v>52</v>
      </c>
      <c r="C7" s="61"/>
      <c r="D7" s="74" t="s">
        <v>37</v>
      </c>
      <c r="E7" s="74" t="s">
        <v>37</v>
      </c>
      <c r="F7" s="74">
        <v>5</v>
      </c>
      <c r="G7" s="74"/>
      <c r="H7" s="703" t="s">
        <v>34</v>
      </c>
      <c r="I7" s="61"/>
      <c r="J7" s="704"/>
      <c r="K7" s="74">
        <v>5</v>
      </c>
      <c r="L7" s="74">
        <v>4</v>
      </c>
      <c r="M7" s="705">
        <v>3</v>
      </c>
      <c r="N7" s="703">
        <v>3</v>
      </c>
      <c r="O7" s="61"/>
      <c r="P7" s="74">
        <v>3</v>
      </c>
      <c r="Q7" s="74">
        <v>5</v>
      </c>
      <c r="R7" s="703">
        <v>3</v>
      </c>
      <c r="S7" s="61"/>
      <c r="T7" s="703"/>
      <c r="U7" s="74"/>
      <c r="V7" s="74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5">
        <v>3</v>
      </c>
      <c r="AJ7" s="76">
        <f t="shared" si="0"/>
        <v>3.7777777777777777</v>
      </c>
      <c r="AK7" s="77">
        <f t="shared" si="1"/>
        <v>0</v>
      </c>
      <c r="AL7" s="77">
        <f t="shared" si="2"/>
        <v>0</v>
      </c>
    </row>
    <row r="8" spans="1:38" ht="16.5" customHeight="1">
      <c r="A8" s="144" t="s">
        <v>53</v>
      </c>
      <c r="B8" s="137" t="s">
        <v>54</v>
      </c>
      <c r="C8" s="61"/>
      <c r="D8" s="74" t="s">
        <v>37</v>
      </c>
      <c r="E8" s="706" t="s">
        <v>34</v>
      </c>
      <c r="F8" s="706" t="s">
        <v>34</v>
      </c>
      <c r="G8" s="706" t="s">
        <v>34</v>
      </c>
      <c r="H8" s="703">
        <v>4</v>
      </c>
      <c r="I8" s="61"/>
      <c r="J8" s="706" t="s">
        <v>34</v>
      </c>
      <c r="K8" s="706" t="s">
        <v>34</v>
      </c>
      <c r="L8" s="706" t="s">
        <v>34</v>
      </c>
      <c r="M8" s="705">
        <v>3</v>
      </c>
      <c r="N8" s="703">
        <v>2</v>
      </c>
      <c r="O8" s="61"/>
      <c r="P8" s="74">
        <v>3</v>
      </c>
      <c r="Q8" s="74">
        <v>2</v>
      </c>
      <c r="R8" s="703">
        <v>3</v>
      </c>
      <c r="S8" s="61">
        <v>4</v>
      </c>
      <c r="T8" s="703">
        <v>3</v>
      </c>
      <c r="U8" s="74"/>
      <c r="V8" s="74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5">
        <v>3</v>
      </c>
      <c r="AJ8" s="76">
        <f t="shared" si="0"/>
        <v>3</v>
      </c>
      <c r="AK8" s="77">
        <f t="shared" si="1"/>
        <v>0</v>
      </c>
      <c r="AL8" s="77">
        <f t="shared" si="2"/>
        <v>0</v>
      </c>
    </row>
    <row r="9" spans="1:38" ht="16.5" customHeight="1">
      <c r="A9" s="146" t="s">
        <v>55</v>
      </c>
      <c r="B9" s="147" t="s">
        <v>56</v>
      </c>
      <c r="C9" s="707"/>
      <c r="D9" s="105" t="s">
        <v>37</v>
      </c>
      <c r="E9" s="105" t="s">
        <v>37</v>
      </c>
      <c r="F9" s="105">
        <v>3</v>
      </c>
      <c r="G9" s="105"/>
      <c r="H9" s="708" t="s">
        <v>34</v>
      </c>
      <c r="I9" s="707"/>
      <c r="J9" s="105" t="s">
        <v>37</v>
      </c>
      <c r="K9" s="105">
        <v>3</v>
      </c>
      <c r="L9" s="105"/>
      <c r="M9" s="709">
        <v>3</v>
      </c>
      <c r="N9" s="710" t="s">
        <v>34</v>
      </c>
      <c r="O9" s="707"/>
      <c r="P9" s="105">
        <v>3</v>
      </c>
      <c r="Q9" s="105">
        <v>4</v>
      </c>
      <c r="R9" s="708">
        <v>3</v>
      </c>
      <c r="S9" s="707" t="s">
        <v>36</v>
      </c>
      <c r="T9" s="708">
        <v>3</v>
      </c>
      <c r="U9" s="105"/>
      <c r="V9" s="105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411">
        <v>3</v>
      </c>
      <c r="AJ9" s="76">
        <f t="shared" si="0"/>
        <v>3.125</v>
      </c>
      <c r="AK9" s="77">
        <f t="shared" si="1"/>
        <v>0</v>
      </c>
      <c r="AL9" s="77">
        <f t="shared" si="2"/>
        <v>0</v>
      </c>
    </row>
    <row r="10" spans="1:38" ht="15.75" customHeight="1">
      <c r="A10" s="149" t="s">
        <v>57</v>
      </c>
      <c r="B10" s="150" t="s">
        <v>58</v>
      </c>
      <c r="C10" s="532"/>
      <c r="D10" s="108" t="s">
        <v>37</v>
      </c>
      <c r="E10" s="108" t="s">
        <v>37</v>
      </c>
      <c r="F10" s="108">
        <v>4</v>
      </c>
      <c r="G10" s="108"/>
      <c r="H10" s="696"/>
      <c r="I10" s="532"/>
      <c r="J10" s="108" t="s">
        <v>37</v>
      </c>
      <c r="K10" s="108">
        <v>5</v>
      </c>
      <c r="L10" s="108">
        <v>4</v>
      </c>
      <c r="M10" s="697">
        <v>4</v>
      </c>
      <c r="N10" s="696">
        <v>3</v>
      </c>
      <c r="O10" s="532"/>
      <c r="P10" s="108">
        <v>3</v>
      </c>
      <c r="Q10" s="108">
        <v>5</v>
      </c>
      <c r="R10" s="696">
        <v>3</v>
      </c>
      <c r="S10" s="532"/>
      <c r="T10" s="696"/>
      <c r="U10" s="108"/>
      <c r="V10" s="108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412">
        <v>4</v>
      </c>
      <c r="AJ10" s="76">
        <f t="shared" ref="AJ10:AJ28" si="3">IFERROR(AVERAGE(C10:AI10),"Нет оценок")</f>
        <v>3.8888888888888888</v>
      </c>
      <c r="AK10" s="77">
        <f t="shared" ref="AK10:AK28" si="4">COUNTIF(C10:AI10,"н/у")</f>
        <v>0</v>
      </c>
      <c r="AL10" s="77">
        <f t="shared" ref="AL10:AL28" si="5">COUNTIF(C10:AI10,"н")</f>
        <v>0</v>
      </c>
    </row>
    <row r="11" spans="1:38" ht="16.5" customHeight="1">
      <c r="A11" s="144" t="s">
        <v>59</v>
      </c>
      <c r="B11" s="137" t="s">
        <v>60</v>
      </c>
      <c r="C11" s="61"/>
      <c r="D11" s="74" t="s">
        <v>37</v>
      </c>
      <c r="E11" s="74" t="s">
        <v>37</v>
      </c>
      <c r="F11" s="74">
        <v>2</v>
      </c>
      <c r="G11" s="74"/>
      <c r="H11" s="711" t="s">
        <v>35</v>
      </c>
      <c r="I11" s="712"/>
      <c r="J11" s="74" t="s">
        <v>37</v>
      </c>
      <c r="K11" s="74">
        <v>3</v>
      </c>
      <c r="L11" s="74">
        <v>4</v>
      </c>
      <c r="M11" s="705">
        <v>3</v>
      </c>
      <c r="N11" s="703">
        <v>3</v>
      </c>
      <c r="O11" s="61"/>
      <c r="P11" s="74">
        <v>3</v>
      </c>
      <c r="Q11" s="72" t="s">
        <v>35</v>
      </c>
      <c r="R11" s="713" t="s">
        <v>35</v>
      </c>
      <c r="S11" s="61"/>
      <c r="T11" s="703">
        <v>3</v>
      </c>
      <c r="U11" s="74"/>
      <c r="V11" s="74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97">
        <v>3</v>
      </c>
      <c r="AJ11" s="76">
        <f t="shared" si="3"/>
        <v>3</v>
      </c>
      <c r="AK11" s="77">
        <f t="shared" si="4"/>
        <v>0</v>
      </c>
      <c r="AL11" s="77">
        <f t="shared" si="5"/>
        <v>0</v>
      </c>
    </row>
    <row r="12" spans="1:38" ht="16.5" customHeight="1">
      <c r="A12" s="144" t="s">
        <v>61</v>
      </c>
      <c r="B12" s="137" t="s">
        <v>62</v>
      </c>
      <c r="C12" s="61"/>
      <c r="D12" s="706" t="s">
        <v>34</v>
      </c>
      <c r="E12" s="706" t="s">
        <v>34</v>
      </c>
      <c r="F12" s="706" t="s">
        <v>34</v>
      </c>
      <c r="G12" s="528" t="s">
        <v>34</v>
      </c>
      <c r="H12" s="703"/>
      <c r="I12" s="712"/>
      <c r="J12" s="74" t="s">
        <v>37</v>
      </c>
      <c r="K12" s="74">
        <v>3</v>
      </c>
      <c r="L12" s="74"/>
      <c r="M12" s="705">
        <v>3</v>
      </c>
      <c r="N12" s="703">
        <v>3</v>
      </c>
      <c r="O12" s="61"/>
      <c r="P12" s="74">
        <v>3</v>
      </c>
      <c r="Q12" s="74">
        <v>4</v>
      </c>
      <c r="R12" s="703">
        <v>3</v>
      </c>
      <c r="S12" s="61"/>
      <c r="T12" s="703">
        <v>3</v>
      </c>
      <c r="U12" s="74"/>
      <c r="V12" s="74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97">
        <v>3</v>
      </c>
      <c r="AJ12" s="76">
        <f t="shared" si="3"/>
        <v>3.125</v>
      </c>
      <c r="AK12" s="77">
        <f t="shared" si="4"/>
        <v>0</v>
      </c>
      <c r="AL12" s="77">
        <f t="shared" si="5"/>
        <v>0</v>
      </c>
    </row>
    <row r="13" spans="1:38" ht="16.5" customHeight="1">
      <c r="A13" s="144" t="s">
        <v>63</v>
      </c>
      <c r="B13" s="338" t="s">
        <v>64</v>
      </c>
      <c r="C13" s="532"/>
      <c r="D13" s="108"/>
      <c r="E13" s="108" t="s">
        <v>101</v>
      </c>
      <c r="F13" s="108">
        <v>3</v>
      </c>
      <c r="G13" s="108" t="s">
        <v>46</v>
      </c>
      <c r="H13" s="696" t="s">
        <v>46</v>
      </c>
      <c r="I13" s="714"/>
      <c r="J13" s="108" t="s">
        <v>46</v>
      </c>
      <c r="K13" s="108" t="s">
        <v>46</v>
      </c>
      <c r="L13" s="108"/>
      <c r="M13" s="697">
        <v>3</v>
      </c>
      <c r="N13" s="696" t="s">
        <v>46</v>
      </c>
      <c r="O13" s="532">
        <v>4</v>
      </c>
      <c r="P13" s="108" t="s">
        <v>46</v>
      </c>
      <c r="Q13" s="108" t="s">
        <v>380</v>
      </c>
      <c r="R13" s="696">
        <v>4</v>
      </c>
      <c r="S13" s="532"/>
      <c r="T13" s="696" t="s">
        <v>46</v>
      </c>
      <c r="U13" s="108"/>
      <c r="V13" s="108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412">
        <v>2</v>
      </c>
      <c r="AJ13" s="76">
        <f t="shared" si="3"/>
        <v>3.2</v>
      </c>
      <c r="AK13" s="77">
        <f t="shared" si="4"/>
        <v>0</v>
      </c>
      <c r="AL13" s="77">
        <f t="shared" si="5"/>
        <v>7</v>
      </c>
    </row>
    <row r="14" spans="1:38" ht="16.5" customHeight="1">
      <c r="A14" s="146" t="s">
        <v>65</v>
      </c>
      <c r="B14" s="715" t="s">
        <v>66</v>
      </c>
      <c r="C14" s="716"/>
      <c r="D14" s="101" t="s">
        <v>37</v>
      </c>
      <c r="E14" s="101" t="s">
        <v>37</v>
      </c>
      <c r="F14" s="101">
        <v>2</v>
      </c>
      <c r="G14" s="101"/>
      <c r="H14" s="717"/>
      <c r="I14" s="718"/>
      <c r="J14" s="719" t="s">
        <v>34</v>
      </c>
      <c r="K14" s="719" t="s">
        <v>34</v>
      </c>
      <c r="L14" s="719" t="s">
        <v>34</v>
      </c>
      <c r="M14" s="720">
        <v>3</v>
      </c>
      <c r="N14" s="717">
        <v>2</v>
      </c>
      <c r="O14" s="716"/>
      <c r="P14" s="101">
        <v>2</v>
      </c>
      <c r="Q14" s="101">
        <v>3</v>
      </c>
      <c r="R14" s="717">
        <v>3</v>
      </c>
      <c r="S14" s="716"/>
      <c r="T14" s="717"/>
      <c r="U14" s="101"/>
      <c r="V14" s="101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7">
        <v>2</v>
      </c>
      <c r="AJ14" s="76">
        <f t="shared" si="3"/>
        <v>2.4285714285714284</v>
      </c>
      <c r="AK14" s="77">
        <f t="shared" si="4"/>
        <v>0</v>
      </c>
      <c r="AL14" s="77">
        <f t="shared" si="5"/>
        <v>0</v>
      </c>
    </row>
    <row r="15" spans="1:38" ht="16.5" customHeight="1">
      <c r="A15" s="149" t="s">
        <v>67</v>
      </c>
      <c r="B15" s="150" t="s">
        <v>68</v>
      </c>
      <c r="C15" s="532"/>
      <c r="D15" s="108" t="s">
        <v>37</v>
      </c>
      <c r="E15" s="108" t="s">
        <v>37</v>
      </c>
      <c r="F15" s="108">
        <v>3</v>
      </c>
      <c r="G15" s="108"/>
      <c r="H15" s="696" t="s">
        <v>36</v>
      </c>
      <c r="I15" s="714"/>
      <c r="J15" s="108" t="s">
        <v>37</v>
      </c>
      <c r="K15" s="108">
        <v>3</v>
      </c>
      <c r="L15" s="108"/>
      <c r="M15" s="697">
        <v>5</v>
      </c>
      <c r="N15" s="696">
        <v>2</v>
      </c>
      <c r="O15" s="532"/>
      <c r="P15" s="108">
        <v>3</v>
      </c>
      <c r="Q15" s="108">
        <v>3</v>
      </c>
      <c r="R15" s="696">
        <v>4</v>
      </c>
      <c r="S15" s="532"/>
      <c r="T15" s="696">
        <v>3</v>
      </c>
      <c r="U15" s="108"/>
      <c r="V15" s="108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412">
        <v>3</v>
      </c>
      <c r="AJ15" s="76">
        <f t="shared" si="3"/>
        <v>3.2222222222222223</v>
      </c>
      <c r="AK15" s="77">
        <f t="shared" si="4"/>
        <v>0</v>
      </c>
      <c r="AL15" s="77">
        <f t="shared" si="5"/>
        <v>0</v>
      </c>
    </row>
    <row r="16" spans="1:38" ht="16.5" customHeight="1">
      <c r="A16" s="144" t="s">
        <v>69</v>
      </c>
      <c r="B16" s="137" t="s">
        <v>70</v>
      </c>
      <c r="C16" s="61"/>
      <c r="D16" s="74" t="s">
        <v>37</v>
      </c>
      <c r="E16" s="74" t="s">
        <v>37</v>
      </c>
      <c r="F16" s="74">
        <v>5</v>
      </c>
      <c r="G16" s="706" t="s">
        <v>34</v>
      </c>
      <c r="H16" s="703"/>
      <c r="I16" s="712"/>
      <c r="J16" s="706" t="s">
        <v>34</v>
      </c>
      <c r="K16" s="74">
        <v>4</v>
      </c>
      <c r="L16" s="74"/>
      <c r="M16" s="705">
        <v>3</v>
      </c>
      <c r="N16" s="721" t="s">
        <v>34</v>
      </c>
      <c r="O16" s="74"/>
      <c r="P16" s="74">
        <v>3</v>
      </c>
      <c r="Q16" s="706" t="s">
        <v>34</v>
      </c>
      <c r="R16" s="721" t="s">
        <v>34</v>
      </c>
      <c r="S16" s="74"/>
      <c r="T16" s="703">
        <v>3</v>
      </c>
      <c r="U16" s="74"/>
      <c r="V16" s="74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97">
        <v>3</v>
      </c>
      <c r="AJ16" s="76">
        <f t="shared" si="3"/>
        <v>3.5</v>
      </c>
      <c r="AK16" s="77">
        <f t="shared" si="4"/>
        <v>0</v>
      </c>
      <c r="AL16" s="77">
        <f t="shared" si="5"/>
        <v>0</v>
      </c>
    </row>
    <row r="17" spans="1:38" ht="16.5" customHeight="1">
      <c r="A17" s="144" t="s">
        <v>71</v>
      </c>
      <c r="B17" s="319" t="s">
        <v>72</v>
      </c>
      <c r="C17" s="61"/>
      <c r="D17" s="706" t="s">
        <v>34</v>
      </c>
      <c r="E17" s="74" t="s">
        <v>101</v>
      </c>
      <c r="F17" s="74">
        <v>2</v>
      </c>
      <c r="G17" s="74"/>
      <c r="H17" s="706" t="s">
        <v>34</v>
      </c>
      <c r="I17" s="706" t="s">
        <v>34</v>
      </c>
      <c r="J17" s="706" t="s">
        <v>34</v>
      </c>
      <c r="K17" s="74">
        <v>3</v>
      </c>
      <c r="L17" s="706" t="s">
        <v>34</v>
      </c>
      <c r="M17" s="705">
        <v>3</v>
      </c>
      <c r="N17" s="703">
        <v>2</v>
      </c>
      <c r="O17" s="706" t="s">
        <v>34</v>
      </c>
      <c r="P17" s="706" t="s">
        <v>34</v>
      </c>
      <c r="Q17" s="706" t="s">
        <v>34</v>
      </c>
      <c r="R17" s="703" t="s">
        <v>34</v>
      </c>
      <c r="S17" s="706" t="s">
        <v>34</v>
      </c>
      <c r="T17" s="706" t="s">
        <v>34</v>
      </c>
      <c r="U17" s="74"/>
      <c r="V17" s="74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97">
        <v>2</v>
      </c>
      <c r="AJ17" s="76">
        <f t="shared" si="3"/>
        <v>2.4</v>
      </c>
      <c r="AK17" s="77">
        <f t="shared" si="4"/>
        <v>0</v>
      </c>
      <c r="AL17" s="77">
        <f t="shared" si="5"/>
        <v>0</v>
      </c>
    </row>
    <row r="18" spans="1:38" ht="16.5" customHeight="1">
      <c r="A18" s="144" t="s">
        <v>73</v>
      </c>
      <c r="B18" s="338" t="s">
        <v>74</v>
      </c>
      <c r="C18" s="532"/>
      <c r="D18" s="108" t="s">
        <v>37</v>
      </c>
      <c r="E18" s="108" t="s">
        <v>37</v>
      </c>
      <c r="F18" s="108">
        <v>3</v>
      </c>
      <c r="G18" s="108"/>
      <c r="H18" s="696"/>
      <c r="I18" s="714" t="s">
        <v>101</v>
      </c>
      <c r="J18" s="108" t="s">
        <v>46</v>
      </c>
      <c r="K18" s="108">
        <v>3</v>
      </c>
      <c r="L18" s="108"/>
      <c r="M18" s="697">
        <v>3</v>
      </c>
      <c r="N18" s="696" t="s">
        <v>46</v>
      </c>
      <c r="O18" s="532"/>
      <c r="P18" s="108">
        <v>2</v>
      </c>
      <c r="Q18" s="108">
        <v>2</v>
      </c>
      <c r="R18" s="696">
        <v>3</v>
      </c>
      <c r="S18" s="532"/>
      <c r="T18" s="696"/>
      <c r="U18" s="108"/>
      <c r="V18" s="108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412">
        <v>2</v>
      </c>
      <c r="AJ18" s="76">
        <f t="shared" si="3"/>
        <v>2.5714285714285716</v>
      </c>
      <c r="AK18" s="77">
        <f t="shared" si="4"/>
        <v>0</v>
      </c>
      <c r="AL18" s="77">
        <f t="shared" si="5"/>
        <v>2</v>
      </c>
    </row>
    <row r="19" spans="1:38" ht="16.5" customHeight="1">
      <c r="A19" s="146" t="s">
        <v>75</v>
      </c>
      <c r="B19" s="151" t="s">
        <v>76</v>
      </c>
      <c r="C19" s="716"/>
      <c r="D19" s="101" t="s">
        <v>37</v>
      </c>
      <c r="E19" s="101" t="s">
        <v>37</v>
      </c>
      <c r="F19" s="101">
        <v>3</v>
      </c>
      <c r="G19" s="101"/>
      <c r="H19" s="717" t="s">
        <v>34</v>
      </c>
      <c r="I19" s="718"/>
      <c r="J19" s="719" t="s">
        <v>34</v>
      </c>
      <c r="K19" s="722" t="s">
        <v>35</v>
      </c>
      <c r="L19" s="101"/>
      <c r="M19" s="720">
        <v>3</v>
      </c>
      <c r="N19" s="717">
        <v>3</v>
      </c>
      <c r="O19" s="723" t="s">
        <v>34</v>
      </c>
      <c r="P19" s="101">
        <v>3</v>
      </c>
      <c r="Q19" s="101">
        <v>4</v>
      </c>
      <c r="R19" s="717">
        <v>3</v>
      </c>
      <c r="S19" s="716"/>
      <c r="T19" s="717">
        <v>3</v>
      </c>
      <c r="U19" s="101"/>
      <c r="V19" s="101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7">
        <v>3</v>
      </c>
      <c r="AJ19" s="76">
        <f t="shared" si="3"/>
        <v>3.125</v>
      </c>
      <c r="AK19" s="77">
        <f t="shared" si="4"/>
        <v>0</v>
      </c>
      <c r="AL19" s="77">
        <f t="shared" si="5"/>
        <v>0</v>
      </c>
    </row>
    <row r="20" spans="1:38" ht="16.5" customHeight="1">
      <c r="A20" s="149" t="s">
        <v>77</v>
      </c>
      <c r="B20" s="150" t="s">
        <v>78</v>
      </c>
      <c r="C20" s="532"/>
      <c r="D20" s="108" t="s">
        <v>37</v>
      </c>
      <c r="E20" s="108" t="s">
        <v>37</v>
      </c>
      <c r="F20" s="108">
        <v>4</v>
      </c>
      <c r="G20" s="108"/>
      <c r="H20" s="696"/>
      <c r="I20" s="714"/>
      <c r="J20" s="108" t="s">
        <v>37</v>
      </c>
      <c r="K20" s="108">
        <v>3</v>
      </c>
      <c r="L20" s="108"/>
      <c r="M20" s="697">
        <v>4</v>
      </c>
      <c r="N20" s="696">
        <v>3</v>
      </c>
      <c r="O20" s="532"/>
      <c r="P20" s="108">
        <v>3</v>
      </c>
      <c r="Q20" s="108">
        <v>4</v>
      </c>
      <c r="R20" s="696">
        <v>3</v>
      </c>
      <c r="S20" s="532"/>
      <c r="T20" s="696"/>
      <c r="U20" s="108"/>
      <c r="V20" s="108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412">
        <v>3</v>
      </c>
      <c r="AJ20" s="76">
        <f t="shared" si="3"/>
        <v>3.375</v>
      </c>
      <c r="AK20" s="77">
        <f t="shared" si="4"/>
        <v>0</v>
      </c>
      <c r="AL20" s="77">
        <f t="shared" si="5"/>
        <v>0</v>
      </c>
    </row>
    <row r="21" spans="1:38" ht="16.5" customHeight="1">
      <c r="A21" s="144" t="s">
        <v>79</v>
      </c>
      <c r="B21" s="137" t="s">
        <v>80</v>
      </c>
      <c r="C21" s="61"/>
      <c r="D21" s="74" t="s">
        <v>381</v>
      </c>
      <c r="E21" s="74" t="s">
        <v>101</v>
      </c>
      <c r="F21" s="74">
        <v>3</v>
      </c>
      <c r="G21" s="74"/>
      <c r="H21" s="703"/>
      <c r="I21" s="712" t="s">
        <v>101</v>
      </c>
      <c r="J21" s="704"/>
      <c r="K21" s="74">
        <v>3</v>
      </c>
      <c r="L21" s="74"/>
      <c r="M21" s="705">
        <v>3</v>
      </c>
      <c r="N21" s="706" t="s">
        <v>34</v>
      </c>
      <c r="O21" s="74"/>
      <c r="P21" s="74">
        <v>3</v>
      </c>
      <c r="Q21" s="74" t="s">
        <v>37</v>
      </c>
      <c r="R21" s="703">
        <v>3</v>
      </c>
      <c r="S21" s="61" t="s">
        <v>36</v>
      </c>
      <c r="T21" s="706" t="s">
        <v>34</v>
      </c>
      <c r="U21" s="74"/>
      <c r="V21" s="74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97">
        <v>3</v>
      </c>
      <c r="AJ21" s="76">
        <f t="shared" si="3"/>
        <v>3</v>
      </c>
      <c r="AK21" s="77">
        <f t="shared" si="4"/>
        <v>0</v>
      </c>
      <c r="AL21" s="77">
        <f t="shared" si="5"/>
        <v>0</v>
      </c>
    </row>
    <row r="22" spans="1:38" ht="16.5" customHeight="1">
      <c r="A22" s="144" t="s">
        <v>81</v>
      </c>
      <c r="B22" s="137" t="s">
        <v>82</v>
      </c>
      <c r="C22" s="61" t="s">
        <v>34</v>
      </c>
      <c r="D22" s="74" t="s">
        <v>34</v>
      </c>
      <c r="E22" s="74" t="s">
        <v>37</v>
      </c>
      <c r="F22" s="74">
        <v>4</v>
      </c>
      <c r="G22" s="74"/>
      <c r="H22" s="703"/>
      <c r="I22" s="61" t="s">
        <v>34</v>
      </c>
      <c r="J22" s="74" t="s">
        <v>37</v>
      </c>
      <c r="K22" s="74">
        <v>3</v>
      </c>
      <c r="L22" s="74"/>
      <c r="M22" s="705">
        <v>3</v>
      </c>
      <c r="N22" s="703">
        <v>3</v>
      </c>
      <c r="O22" s="61"/>
      <c r="P22" s="74">
        <v>3</v>
      </c>
      <c r="Q22" s="74">
        <v>4</v>
      </c>
      <c r="R22" s="703">
        <v>3</v>
      </c>
      <c r="S22" s="61" t="s">
        <v>34</v>
      </c>
      <c r="T22" s="703">
        <v>3</v>
      </c>
      <c r="U22" s="74"/>
      <c r="V22" s="74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97">
        <v>4</v>
      </c>
      <c r="AJ22" s="76">
        <f t="shared" si="3"/>
        <v>3.3333333333333335</v>
      </c>
      <c r="AK22" s="77">
        <f t="shared" si="4"/>
        <v>0</v>
      </c>
      <c r="AL22" s="77">
        <f t="shared" si="5"/>
        <v>0</v>
      </c>
    </row>
    <row r="23" spans="1:38" ht="16.5" customHeight="1">
      <c r="A23" s="144" t="s">
        <v>83</v>
      </c>
      <c r="B23" s="150" t="s">
        <v>84</v>
      </c>
      <c r="C23" s="532"/>
      <c r="D23" s="108" t="s">
        <v>37</v>
      </c>
      <c r="E23" s="108" t="s">
        <v>37</v>
      </c>
      <c r="F23" s="108">
        <v>4</v>
      </c>
      <c r="G23" s="108"/>
      <c r="H23" s="724" t="s">
        <v>35</v>
      </c>
      <c r="I23" s="532">
        <v>4</v>
      </c>
      <c r="J23" s="725"/>
      <c r="K23" s="108">
        <v>4</v>
      </c>
      <c r="L23" s="719" t="s">
        <v>34</v>
      </c>
      <c r="M23" s="697">
        <v>4</v>
      </c>
      <c r="N23" s="719" t="s">
        <v>34</v>
      </c>
      <c r="O23" s="719" t="s">
        <v>34</v>
      </c>
      <c r="P23" s="719" t="s">
        <v>34</v>
      </c>
      <c r="Q23" s="719" t="s">
        <v>34</v>
      </c>
      <c r="R23" s="696">
        <v>3</v>
      </c>
      <c r="S23" s="532"/>
      <c r="T23" s="719" t="s">
        <v>34</v>
      </c>
      <c r="U23" s="108"/>
      <c r="V23" s="108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412">
        <v>4</v>
      </c>
      <c r="AJ23" s="76">
        <f t="shared" si="3"/>
        <v>3.8333333333333335</v>
      </c>
      <c r="AK23" s="77">
        <f t="shared" si="4"/>
        <v>0</v>
      </c>
      <c r="AL23" s="77">
        <f t="shared" si="5"/>
        <v>0</v>
      </c>
    </row>
    <row r="24" spans="1:38" ht="16.5" customHeight="1">
      <c r="A24" s="154" t="s">
        <v>27</v>
      </c>
      <c r="B24" s="151" t="s">
        <v>85</v>
      </c>
      <c r="C24" s="716"/>
      <c r="D24" s="101" t="s">
        <v>37</v>
      </c>
      <c r="E24" s="101" t="s">
        <v>37</v>
      </c>
      <c r="F24" s="101">
        <v>4</v>
      </c>
      <c r="G24" s="101"/>
      <c r="H24" s="717"/>
      <c r="I24" s="716"/>
      <c r="J24" s="101" t="s">
        <v>37</v>
      </c>
      <c r="K24" s="101">
        <v>4</v>
      </c>
      <c r="L24" s="105"/>
      <c r="M24" s="720">
        <v>4</v>
      </c>
      <c r="N24" s="708">
        <v>2</v>
      </c>
      <c r="O24" s="707"/>
      <c r="P24" s="105">
        <v>3</v>
      </c>
      <c r="Q24" s="105">
        <v>2</v>
      </c>
      <c r="R24" s="726" t="s">
        <v>34</v>
      </c>
      <c r="S24" s="113"/>
      <c r="T24" s="497" t="s">
        <v>35</v>
      </c>
      <c r="U24" s="101"/>
      <c r="V24" s="101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7">
        <v>3</v>
      </c>
      <c r="AJ24" s="76">
        <f t="shared" si="3"/>
        <v>3.1428571428571428</v>
      </c>
      <c r="AK24" s="77">
        <f t="shared" si="4"/>
        <v>0</v>
      </c>
      <c r="AL24" s="77">
        <f t="shared" si="5"/>
        <v>0</v>
      </c>
    </row>
    <row r="25" spans="1:38" ht="16.5" customHeight="1">
      <c r="A25" s="156" t="s">
        <v>86</v>
      </c>
      <c r="B25" s="150" t="s">
        <v>87</v>
      </c>
      <c r="C25" s="532">
        <v>4</v>
      </c>
      <c r="D25" s="108" t="s">
        <v>37</v>
      </c>
      <c r="E25" s="108" t="s">
        <v>37</v>
      </c>
      <c r="F25" s="699" t="s">
        <v>34</v>
      </c>
      <c r="G25" s="108"/>
      <c r="H25" s="727" t="s">
        <v>35</v>
      </c>
      <c r="I25" s="699" t="s">
        <v>34</v>
      </c>
      <c r="J25" s="699" t="s">
        <v>34</v>
      </c>
      <c r="K25" s="699" t="s">
        <v>34</v>
      </c>
      <c r="L25" s="699" t="s">
        <v>34</v>
      </c>
      <c r="M25" s="697">
        <v>3</v>
      </c>
      <c r="N25" s="699" t="s">
        <v>34</v>
      </c>
      <c r="O25" s="699" t="s">
        <v>34</v>
      </c>
      <c r="P25" s="108">
        <v>3</v>
      </c>
      <c r="Q25" s="108">
        <v>2</v>
      </c>
      <c r="R25" s="485">
        <v>3</v>
      </c>
      <c r="S25" s="699" t="s">
        <v>34</v>
      </c>
      <c r="T25" s="699" t="s">
        <v>34</v>
      </c>
      <c r="U25" s="108"/>
      <c r="V25" s="108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412">
        <v>3</v>
      </c>
      <c r="AJ25" s="76">
        <f t="shared" si="3"/>
        <v>3</v>
      </c>
      <c r="AK25" s="77">
        <f t="shared" si="4"/>
        <v>0</v>
      </c>
      <c r="AL25" s="77">
        <f t="shared" si="5"/>
        <v>0</v>
      </c>
    </row>
    <row r="26" spans="1:38" ht="16.5" hidden="1" customHeight="1">
      <c r="A26" s="139" t="s">
        <v>86</v>
      </c>
      <c r="B26" s="137" t="s">
        <v>88</v>
      </c>
      <c r="C26" s="61"/>
      <c r="D26" s="74"/>
      <c r="E26" s="74"/>
      <c r="F26" s="74"/>
      <c r="G26" s="74"/>
      <c r="H26" s="703"/>
      <c r="I26" s="61"/>
      <c r="J26" s="61"/>
      <c r="K26" s="74"/>
      <c r="L26" s="74"/>
      <c r="M26" s="705"/>
      <c r="N26" s="728"/>
      <c r="O26" s="87"/>
      <c r="P26" s="61"/>
      <c r="Q26" s="74"/>
      <c r="R26" s="703"/>
      <c r="S26" s="532"/>
      <c r="T26" s="703"/>
      <c r="U26" s="74"/>
      <c r="V26" s="74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97"/>
      <c r="AJ26" s="76" t="str">
        <f t="shared" si="3"/>
        <v>Нет оценок</v>
      </c>
      <c r="AK26" s="77">
        <f t="shared" si="4"/>
        <v>0</v>
      </c>
      <c r="AL26" s="77">
        <f t="shared" si="5"/>
        <v>0</v>
      </c>
    </row>
    <row r="27" spans="1:38" ht="16.5" customHeight="1">
      <c r="A27" s="139" t="s">
        <v>89</v>
      </c>
      <c r="B27" s="319" t="s">
        <v>90</v>
      </c>
      <c r="C27" s="729"/>
      <c r="D27" s="95" t="s">
        <v>37</v>
      </c>
      <c r="E27" s="95" t="s">
        <v>37</v>
      </c>
      <c r="F27" s="95">
        <v>2</v>
      </c>
      <c r="G27" s="95"/>
      <c r="H27" s="728"/>
      <c r="I27" s="729"/>
      <c r="J27" s="730" t="s">
        <v>46</v>
      </c>
      <c r="K27" s="95">
        <v>3</v>
      </c>
      <c r="L27" s="95"/>
      <c r="M27" s="731">
        <v>2</v>
      </c>
      <c r="N27" s="266" t="s">
        <v>48</v>
      </c>
      <c r="O27" s="729"/>
      <c r="P27" s="95">
        <v>2</v>
      </c>
      <c r="Q27" s="95" t="s">
        <v>46</v>
      </c>
      <c r="R27" s="728">
        <v>3</v>
      </c>
      <c r="S27" s="729"/>
      <c r="T27" s="728"/>
      <c r="U27" s="95"/>
      <c r="V27" s="95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125">
        <v>2</v>
      </c>
      <c r="AJ27" s="76">
        <f t="shared" si="3"/>
        <v>2.3333333333333335</v>
      </c>
      <c r="AK27" s="77">
        <f t="shared" si="4"/>
        <v>1</v>
      </c>
      <c r="AL27" s="77">
        <f t="shared" si="5"/>
        <v>2</v>
      </c>
    </row>
    <row r="28" spans="1:38" ht="16.5" customHeight="1">
      <c r="A28" s="139" t="s">
        <v>91</v>
      </c>
      <c r="B28" s="137" t="s">
        <v>92</v>
      </c>
      <c r="C28" s="61"/>
      <c r="D28" s="70" t="s">
        <v>37</v>
      </c>
      <c r="E28" s="70" t="s">
        <v>101</v>
      </c>
      <c r="F28" s="70">
        <v>3</v>
      </c>
      <c r="G28" s="70"/>
      <c r="H28" s="732" t="s">
        <v>34</v>
      </c>
      <c r="I28" s="733" t="s">
        <v>35</v>
      </c>
      <c r="J28" s="733" t="s">
        <v>35</v>
      </c>
      <c r="K28" s="733" t="s">
        <v>35</v>
      </c>
      <c r="L28" s="733" t="s">
        <v>35</v>
      </c>
      <c r="M28" s="701">
        <v>4</v>
      </c>
      <c r="N28" s="734">
        <v>2</v>
      </c>
      <c r="O28" s="61"/>
      <c r="P28" s="70">
        <v>4</v>
      </c>
      <c r="Q28" s="70">
        <v>5</v>
      </c>
      <c r="R28" s="735">
        <v>3</v>
      </c>
      <c r="S28" s="61" t="s">
        <v>36</v>
      </c>
      <c r="T28" s="732" t="s">
        <v>34</v>
      </c>
      <c r="U28" s="74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97">
        <v>3</v>
      </c>
      <c r="AJ28" s="76">
        <f t="shared" si="3"/>
        <v>3.4285714285714284</v>
      </c>
      <c r="AK28" s="77">
        <f t="shared" si="4"/>
        <v>0</v>
      </c>
      <c r="AL28" s="77">
        <f t="shared" si="5"/>
        <v>0</v>
      </c>
    </row>
    <row r="29" spans="1:38" ht="15.75">
      <c r="A29" s="165" t="s">
        <v>93</v>
      </c>
      <c r="B29" s="165" t="s">
        <v>94</v>
      </c>
      <c r="AJ29" s="127">
        <f>IFERROR(AVERAGE(AJ5:AJ28),"")</f>
        <v>3.1403036576949619</v>
      </c>
      <c r="AK29" s="128">
        <f>SUM(AK5:AK28)</f>
        <v>1</v>
      </c>
      <c r="AL29" s="128">
        <f>SUM(AL5:AL28)</f>
        <v>13</v>
      </c>
    </row>
    <row r="30" spans="1:38" ht="15.75">
      <c r="A30" s="736" t="s">
        <v>382</v>
      </c>
      <c r="B30" s="737" t="s">
        <v>383</v>
      </c>
    </row>
    <row r="31" spans="1:38" ht="15.75">
      <c r="A31" s="736" t="s">
        <v>384</v>
      </c>
      <c r="B31" s="737" t="s">
        <v>385</v>
      </c>
    </row>
    <row r="32" spans="1:38" ht="15.75">
      <c r="A32" s="736" t="s">
        <v>386</v>
      </c>
      <c r="B32" s="737" t="s">
        <v>387</v>
      </c>
    </row>
    <row r="33" spans="1:21" ht="15.75">
      <c r="A33" s="736" t="s">
        <v>388</v>
      </c>
      <c r="B33" s="443" t="s">
        <v>389</v>
      </c>
      <c r="U33" s="738"/>
    </row>
    <row r="34" spans="1:21" ht="15.75">
      <c r="A34" s="736" t="s">
        <v>238</v>
      </c>
      <c r="B34" s="443" t="s">
        <v>390</v>
      </c>
      <c r="U34" s="70" t="s">
        <v>234</v>
      </c>
    </row>
    <row r="35" spans="1:21" ht="15.75">
      <c r="A35" s="736" t="s">
        <v>391</v>
      </c>
      <c r="B35" s="737" t="s">
        <v>392</v>
      </c>
    </row>
    <row r="36" spans="1:21" ht="15.75">
      <c r="A36" s="736" t="s">
        <v>393</v>
      </c>
      <c r="B36" s="737" t="s">
        <v>394</v>
      </c>
    </row>
    <row r="37" spans="1:21" ht="15.75">
      <c r="A37" s="736" t="s">
        <v>395</v>
      </c>
      <c r="B37" s="737" t="s">
        <v>396</v>
      </c>
    </row>
    <row r="38" spans="1:21" ht="15.75">
      <c r="A38" s="736" t="s">
        <v>397</v>
      </c>
      <c r="B38" s="737" t="s">
        <v>394</v>
      </c>
    </row>
    <row r="39" spans="1:21" ht="15.75">
      <c r="A39" s="736" t="s">
        <v>398</v>
      </c>
      <c r="B39" s="737" t="s">
        <v>394</v>
      </c>
    </row>
    <row r="40" spans="1:21" ht="15.75">
      <c r="A40" s="736" t="s">
        <v>399</v>
      </c>
      <c r="B40" s="737" t="s">
        <v>400</v>
      </c>
    </row>
    <row r="41" spans="1:21" ht="15.75">
      <c r="A41" s="736" t="s">
        <v>401</v>
      </c>
      <c r="B41" s="443" t="s">
        <v>402</v>
      </c>
    </row>
    <row r="42" spans="1:21" ht="15.75">
      <c r="A42" s="736" t="s">
        <v>403</v>
      </c>
      <c r="B42" s="737" t="s">
        <v>404</v>
      </c>
    </row>
    <row r="43" spans="1:21" ht="15.75">
      <c r="A43" s="736" t="s">
        <v>405</v>
      </c>
      <c r="B43" s="443" t="s">
        <v>406</v>
      </c>
    </row>
    <row r="44" spans="1:21" ht="15.75">
      <c r="A44" s="736" t="s">
        <v>407</v>
      </c>
      <c r="B44" s="443" t="s">
        <v>408</v>
      </c>
    </row>
    <row r="45" spans="1:21" ht="15.75">
      <c r="A45" s="736" t="s">
        <v>407</v>
      </c>
      <c r="B45" s="737" t="s">
        <v>263</v>
      </c>
    </row>
    <row r="46" spans="1:21" ht="15.75">
      <c r="A46" s="736" t="s">
        <v>113</v>
      </c>
      <c r="B46" s="443" t="s">
        <v>409</v>
      </c>
    </row>
    <row r="47" spans="1:21" ht="15.75">
      <c r="A47" s="736" t="s">
        <v>410</v>
      </c>
      <c r="B47" s="443" t="s">
        <v>411</v>
      </c>
    </row>
    <row r="48" spans="1:21">
      <c r="A48" s="736"/>
      <c r="B48" s="166"/>
    </row>
    <row r="49" spans="1:2">
      <c r="A49" s="166"/>
      <c r="B49" s="166"/>
    </row>
    <row r="50" spans="1:2">
      <c r="A50" s="166"/>
      <c r="B50" s="166"/>
    </row>
    <row r="51" spans="1:2">
      <c r="A51" s="166"/>
      <c r="B51" s="166"/>
    </row>
    <row r="52" spans="1:2">
      <c r="A52" s="166"/>
      <c r="B52" s="166"/>
    </row>
    <row r="53" spans="1:2">
      <c r="A53" s="166"/>
      <c r="B53" s="166"/>
    </row>
    <row r="54" spans="1:2">
      <c r="A54" s="166"/>
      <c r="B54" s="166"/>
    </row>
    <row r="55" spans="1:2">
      <c r="A55" s="166"/>
      <c r="B55" s="166"/>
    </row>
    <row r="56" spans="1:2">
      <c r="A56" s="166"/>
      <c r="B56" s="166"/>
    </row>
    <row r="57" spans="1:2">
      <c r="A57" s="166"/>
      <c r="B57" s="166"/>
    </row>
    <row r="58" spans="1:2">
      <c r="A58" s="166"/>
      <c r="B58" s="166"/>
    </row>
    <row r="59" spans="1:2">
      <c r="A59" s="166"/>
      <c r="B59" s="166"/>
    </row>
    <row r="60" spans="1:2">
      <c r="A60" s="166"/>
      <c r="B60" s="166"/>
    </row>
    <row r="61" spans="1:2">
      <c r="A61" s="166"/>
      <c r="B61" s="166"/>
    </row>
    <row r="62" spans="1:2">
      <c r="A62" s="166"/>
      <c r="B62" s="166"/>
    </row>
    <row r="63" spans="1:2">
      <c r="A63" s="166"/>
      <c r="B63" s="166"/>
    </row>
    <row r="64" spans="1:2">
      <c r="A64" s="166"/>
      <c r="B64" s="166"/>
    </row>
    <row r="65" spans="1:2">
      <c r="A65" s="166"/>
      <c r="B65" s="166"/>
    </row>
    <row r="66" spans="1:2">
      <c r="A66" s="166"/>
      <c r="B66" s="166"/>
    </row>
  </sheetData>
  <mergeCells count="10">
    <mergeCell ref="AK3:AL3"/>
    <mergeCell ref="A1:B1"/>
    <mergeCell ref="C1:AH1"/>
    <mergeCell ref="A2:B2"/>
    <mergeCell ref="C2:AH2"/>
    <mergeCell ref="A3:A4"/>
    <mergeCell ref="C3:H3"/>
    <mergeCell ref="I3:N3"/>
    <mergeCell ref="O3:R3"/>
    <mergeCell ref="S3:T3"/>
  </mergeCells>
  <conditionalFormatting sqref="AJ5:AJ29">
    <cfRule type="cellIs" dxfId="56" priority="2" operator="lessThan">
      <formula>3</formula>
    </cfRule>
  </conditionalFormatting>
  <conditionalFormatting sqref="AL5:AL28">
    <cfRule type="cellIs" dxfId="55" priority="1" operator="greaterThan">
      <formula>0</formula>
    </cfRule>
  </conditionalFormatting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W78"/>
  <sheetViews>
    <sheetView zoomScale="85"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style="739" customWidth="1"/>
    <col min="2" max="2" width="34.44140625" style="739" customWidth="1"/>
    <col min="3" max="24" width="2.77734375" style="20" customWidth="1"/>
    <col min="25" max="25" width="7.6640625" style="21" customWidth="1"/>
    <col min="26" max="26" width="10.6640625" style="21" customWidth="1"/>
    <col min="27" max="28" width="8.109375" style="21" customWidth="1"/>
    <col min="29" max="29" width="4.5546875" style="21" customWidth="1"/>
    <col min="30" max="38" width="3" style="21" customWidth="1"/>
    <col min="39" max="16384" width="11.5546875" style="21"/>
  </cols>
  <sheetData>
    <row r="1" spans="1:205" ht="21.75" customHeight="1">
      <c r="A1" s="1332" t="s">
        <v>38</v>
      </c>
      <c r="B1" s="1332"/>
      <c r="C1" s="1332" t="s">
        <v>18</v>
      </c>
      <c r="D1" s="1332"/>
      <c r="E1" s="1332"/>
      <c r="F1" s="1332"/>
      <c r="G1" s="1332"/>
      <c r="H1" s="1332"/>
      <c r="I1" s="1332"/>
      <c r="J1" s="1332"/>
      <c r="K1" s="1332"/>
      <c r="L1" s="1332"/>
      <c r="M1" s="1332"/>
      <c r="N1" s="1332"/>
      <c r="O1" s="1332"/>
      <c r="P1" s="1332"/>
      <c r="Q1" s="1332"/>
      <c r="R1" s="1332"/>
      <c r="S1" s="1332"/>
      <c r="T1" s="1332"/>
      <c r="U1" s="1332"/>
      <c r="V1" s="1332"/>
      <c r="W1" s="1332"/>
      <c r="X1" s="1332"/>
      <c r="Y1" s="740"/>
      <c r="Z1" s="739"/>
      <c r="AA1" s="739"/>
      <c r="AB1" s="739"/>
    </row>
    <row r="2" spans="1:205" ht="21.75" customHeight="1">
      <c r="A2" s="1332" t="s">
        <v>39</v>
      </c>
      <c r="B2" s="1332"/>
      <c r="C2" s="1333" t="s">
        <v>412</v>
      </c>
      <c r="D2" s="1334"/>
      <c r="E2" s="1334"/>
      <c r="F2" s="1334"/>
      <c r="G2" s="1334"/>
      <c r="H2" s="1334"/>
      <c r="I2" s="1334"/>
      <c r="J2" s="1334"/>
      <c r="K2" s="1334"/>
      <c r="L2" s="1334"/>
      <c r="M2" s="1334"/>
      <c r="N2" s="1334"/>
      <c r="O2" s="1334"/>
      <c r="P2" s="1334"/>
      <c r="Q2" s="1334"/>
      <c r="R2" s="1334"/>
      <c r="S2" s="1334"/>
      <c r="T2" s="1334"/>
      <c r="U2" s="1334"/>
      <c r="V2" s="1334"/>
      <c r="W2" s="1334"/>
      <c r="X2" s="1334"/>
      <c r="Y2" s="740"/>
      <c r="Z2" s="739"/>
      <c r="AA2" s="739"/>
      <c r="AB2" s="739"/>
    </row>
    <row r="3" spans="1:205" s="741" customFormat="1" ht="16.5" customHeight="1">
      <c r="A3" s="1335" t="s">
        <v>41</v>
      </c>
      <c r="B3" s="742" t="s">
        <v>42</v>
      </c>
      <c r="C3" s="743" t="s">
        <v>413</v>
      </c>
      <c r="D3" s="1337" t="s">
        <v>414</v>
      </c>
      <c r="E3" s="1338"/>
      <c r="F3" s="1338"/>
      <c r="G3" s="1338"/>
      <c r="H3" s="1338"/>
      <c r="I3" s="1338"/>
      <c r="J3" s="1338"/>
      <c r="K3" s="1338"/>
      <c r="L3" s="1339"/>
      <c r="M3" s="1340" t="s">
        <v>415</v>
      </c>
      <c r="N3" s="1340"/>
      <c r="O3" s="1340"/>
      <c r="P3" s="1340"/>
      <c r="Q3" s="1340"/>
      <c r="R3" s="1340"/>
      <c r="S3" s="1340"/>
      <c r="T3" s="1341"/>
      <c r="U3" s="1342" t="s">
        <v>416</v>
      </c>
      <c r="V3" s="1343"/>
      <c r="W3" s="1343"/>
      <c r="X3" s="1344"/>
      <c r="Y3" s="745" t="s">
        <v>31</v>
      </c>
      <c r="Z3" s="744"/>
      <c r="AA3" s="1345" t="s">
        <v>0</v>
      </c>
      <c r="AB3" s="1345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</row>
    <row r="4" spans="1:205" s="746" customFormat="1" ht="16.5" customHeight="1">
      <c r="A4" s="1336"/>
      <c r="B4" s="747" t="s">
        <v>43</v>
      </c>
      <c r="C4" s="748">
        <v>20</v>
      </c>
      <c r="D4" s="749">
        <v>6</v>
      </c>
      <c r="E4" s="747">
        <v>14</v>
      </c>
      <c r="F4" s="750">
        <v>14</v>
      </c>
      <c r="G4" s="747">
        <v>17</v>
      </c>
      <c r="H4" s="1346">
        <v>21</v>
      </c>
      <c r="I4" s="1346"/>
      <c r="J4" s="750">
        <v>23</v>
      </c>
      <c r="K4" s="1346">
        <v>27</v>
      </c>
      <c r="L4" s="1347"/>
      <c r="M4" s="749">
        <v>1</v>
      </c>
      <c r="N4" s="750">
        <v>6</v>
      </c>
      <c r="O4" s="751">
        <v>10</v>
      </c>
      <c r="P4" s="750">
        <v>11</v>
      </c>
      <c r="Q4" s="747">
        <v>12</v>
      </c>
      <c r="R4" s="750">
        <v>15</v>
      </c>
      <c r="S4" s="747">
        <v>17</v>
      </c>
      <c r="T4" s="747">
        <v>19</v>
      </c>
      <c r="U4" s="747">
        <v>2</v>
      </c>
      <c r="V4" s="747"/>
      <c r="W4" s="747"/>
      <c r="X4" s="747"/>
      <c r="Y4" s="752" t="s">
        <v>32</v>
      </c>
      <c r="Z4" s="753" t="s">
        <v>33</v>
      </c>
      <c r="AA4" s="754" t="s">
        <v>5</v>
      </c>
      <c r="AB4" s="754" t="s">
        <v>6</v>
      </c>
    </row>
    <row r="5" spans="1:205" s="755" customFormat="1" ht="15.75" customHeight="1">
      <c r="A5" s="756" t="s">
        <v>44</v>
      </c>
      <c r="B5" s="757" t="s">
        <v>45</v>
      </c>
      <c r="C5" s="758">
        <v>5</v>
      </c>
      <c r="D5" s="759">
        <v>4</v>
      </c>
      <c r="E5" s="760">
        <v>3</v>
      </c>
      <c r="F5" s="761">
        <v>2</v>
      </c>
      <c r="G5" s="760" t="s">
        <v>417</v>
      </c>
      <c r="H5" s="761">
        <v>4</v>
      </c>
      <c r="I5" s="761">
        <v>2</v>
      </c>
      <c r="J5" s="761">
        <v>5</v>
      </c>
      <c r="K5" s="761" t="s">
        <v>46</v>
      </c>
      <c r="L5" s="762">
        <v>4</v>
      </c>
      <c r="M5" s="759">
        <v>4</v>
      </c>
      <c r="N5" s="761">
        <v>4</v>
      </c>
      <c r="O5" s="763">
        <v>4</v>
      </c>
      <c r="P5" s="761">
        <v>5</v>
      </c>
      <c r="Q5" s="760" t="s">
        <v>46</v>
      </c>
      <c r="R5" s="761">
        <v>4</v>
      </c>
      <c r="S5" s="760">
        <v>3</v>
      </c>
      <c r="T5" s="760"/>
      <c r="U5" s="760" t="s">
        <v>46</v>
      </c>
      <c r="V5" s="760"/>
      <c r="W5" s="760"/>
      <c r="X5" s="760"/>
      <c r="Y5" s="764" t="s">
        <v>46</v>
      </c>
      <c r="Z5" s="765">
        <f t="shared" ref="Z5:Z9" si="0">IFERROR(AVERAGE(C5:Y5),"Нет оценок")</f>
        <v>3.7857142857142856</v>
      </c>
      <c r="AA5" s="766">
        <f t="shared" ref="AA5:AA9" si="1">COUNTIF(C5:Y5,"н/у")</f>
        <v>0</v>
      </c>
      <c r="AB5" s="766">
        <f t="shared" ref="AB5:AB9" si="2">COUNTIF(C5:Y5,"н")</f>
        <v>4</v>
      </c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</row>
    <row r="6" spans="1:205" ht="15.75" customHeight="1">
      <c r="A6" s="767" t="s">
        <v>49</v>
      </c>
      <c r="B6" s="768" t="s">
        <v>50</v>
      </c>
      <c r="C6" s="769">
        <v>3</v>
      </c>
      <c r="D6" s="770">
        <v>5</v>
      </c>
      <c r="E6" s="13" t="s">
        <v>418</v>
      </c>
      <c r="F6" s="771">
        <v>3</v>
      </c>
      <c r="G6" s="13" t="s">
        <v>418</v>
      </c>
      <c r="H6" s="771">
        <v>3</v>
      </c>
      <c r="I6" s="771">
        <v>4</v>
      </c>
      <c r="J6" s="771">
        <v>5</v>
      </c>
      <c r="K6" s="771">
        <v>5</v>
      </c>
      <c r="L6" s="772">
        <v>4</v>
      </c>
      <c r="M6" s="770">
        <v>4</v>
      </c>
      <c r="N6" s="771">
        <v>4</v>
      </c>
      <c r="O6" s="773">
        <v>5</v>
      </c>
      <c r="P6" s="771">
        <v>4</v>
      </c>
      <c r="Q6" s="13">
        <v>4</v>
      </c>
      <c r="R6" s="771">
        <v>5</v>
      </c>
      <c r="S6" s="13"/>
      <c r="T6" s="13"/>
      <c r="U6" s="13"/>
      <c r="V6" s="13"/>
      <c r="W6" s="13"/>
      <c r="X6" s="13"/>
      <c r="Y6" s="774">
        <v>4</v>
      </c>
      <c r="Z6" s="775">
        <f t="shared" si="0"/>
        <v>4.1333333333333337</v>
      </c>
      <c r="AA6" s="766">
        <f t="shared" si="1"/>
        <v>0</v>
      </c>
      <c r="AB6" s="766">
        <f t="shared" si="2"/>
        <v>0</v>
      </c>
    </row>
    <row r="7" spans="1:205" ht="15.75" customHeight="1">
      <c r="A7" s="776" t="s">
        <v>51</v>
      </c>
      <c r="B7" s="777" t="s">
        <v>52</v>
      </c>
      <c r="C7" s="769">
        <v>5</v>
      </c>
      <c r="D7" s="770">
        <v>5</v>
      </c>
      <c r="E7" s="13">
        <v>5</v>
      </c>
      <c r="F7" s="771">
        <v>5</v>
      </c>
      <c r="G7" s="13">
        <v>4</v>
      </c>
      <c r="H7" s="771">
        <v>5</v>
      </c>
      <c r="I7" s="771">
        <v>4</v>
      </c>
      <c r="J7" s="771">
        <v>4</v>
      </c>
      <c r="K7" s="771">
        <v>5</v>
      </c>
      <c r="L7" s="772">
        <v>4</v>
      </c>
      <c r="M7" s="770">
        <v>5</v>
      </c>
      <c r="N7" s="771">
        <v>5</v>
      </c>
      <c r="O7" s="773">
        <v>5</v>
      </c>
      <c r="P7" s="771">
        <v>5</v>
      </c>
      <c r="Q7" s="13">
        <v>5</v>
      </c>
      <c r="R7" s="771">
        <v>5</v>
      </c>
      <c r="S7" s="13"/>
      <c r="T7" s="13"/>
      <c r="U7" s="13"/>
      <c r="V7" s="13"/>
      <c r="W7" s="13"/>
      <c r="X7" s="13"/>
      <c r="Y7" s="774">
        <v>5</v>
      </c>
      <c r="Z7" s="775">
        <f t="shared" si="0"/>
        <v>4.7647058823529411</v>
      </c>
      <c r="AA7" s="766">
        <f t="shared" si="1"/>
        <v>0</v>
      </c>
      <c r="AB7" s="766">
        <f t="shared" si="2"/>
        <v>0</v>
      </c>
      <c r="AD7" s="1348" t="s">
        <v>419</v>
      </c>
      <c r="AE7" s="1349"/>
      <c r="AF7" s="1349"/>
      <c r="AG7" s="1350" t="s">
        <v>420</v>
      </c>
      <c r="AH7" s="1349"/>
      <c r="AI7" s="1349"/>
      <c r="AJ7" s="1351" t="s">
        <v>421</v>
      </c>
      <c r="AK7" s="1352"/>
      <c r="AL7" s="1352"/>
    </row>
    <row r="8" spans="1:205" ht="15.75" customHeight="1">
      <c r="A8" s="767" t="s">
        <v>53</v>
      </c>
      <c r="B8" s="781" t="s">
        <v>422</v>
      </c>
      <c r="C8" s="769" t="s">
        <v>418</v>
      </c>
      <c r="D8" s="770">
        <v>4</v>
      </c>
      <c r="E8" s="13">
        <v>3</v>
      </c>
      <c r="F8" s="771">
        <v>4</v>
      </c>
      <c r="G8" s="13" t="s">
        <v>418</v>
      </c>
      <c r="H8" s="771">
        <v>5</v>
      </c>
      <c r="I8" s="771">
        <v>2</v>
      </c>
      <c r="J8" s="771">
        <v>5</v>
      </c>
      <c r="K8" s="771">
        <v>5</v>
      </c>
      <c r="L8" s="772">
        <v>2</v>
      </c>
      <c r="M8" s="770">
        <v>5</v>
      </c>
      <c r="N8" s="771">
        <v>5</v>
      </c>
      <c r="O8" s="773">
        <v>5</v>
      </c>
      <c r="P8" s="771">
        <v>5</v>
      </c>
      <c r="Q8" s="13" t="s">
        <v>418</v>
      </c>
      <c r="R8" s="771">
        <v>5</v>
      </c>
      <c r="S8" s="13"/>
      <c r="T8" s="13"/>
      <c r="U8" s="13"/>
      <c r="V8" s="13"/>
      <c r="W8" s="13"/>
      <c r="X8" s="13"/>
      <c r="Y8" s="774">
        <v>4</v>
      </c>
      <c r="Z8" s="775">
        <f t="shared" si="0"/>
        <v>4.2142857142857144</v>
      </c>
      <c r="AA8" s="766">
        <f t="shared" si="1"/>
        <v>0</v>
      </c>
      <c r="AB8" s="766">
        <f t="shared" si="2"/>
        <v>0</v>
      </c>
      <c r="AD8" s="778"/>
      <c r="AE8" s="778" t="s">
        <v>324</v>
      </c>
      <c r="AF8" s="778" t="s">
        <v>423</v>
      </c>
      <c r="AG8" s="779"/>
      <c r="AH8" s="779" t="s">
        <v>324</v>
      </c>
      <c r="AI8" s="779" t="s">
        <v>423</v>
      </c>
      <c r="AJ8" s="782"/>
      <c r="AK8" s="780" t="s">
        <v>324</v>
      </c>
      <c r="AL8" s="783" t="s">
        <v>423</v>
      </c>
    </row>
    <row r="9" spans="1:205" ht="15.75" customHeight="1">
      <c r="A9" s="784" t="s">
        <v>55</v>
      </c>
      <c r="B9" s="785" t="s">
        <v>56</v>
      </c>
      <c r="C9" s="786" t="s">
        <v>418</v>
      </c>
      <c r="D9" s="787">
        <v>5</v>
      </c>
      <c r="E9" s="16">
        <v>4</v>
      </c>
      <c r="F9" s="788">
        <v>5</v>
      </c>
      <c r="G9" s="16">
        <v>3</v>
      </c>
      <c r="H9" s="788">
        <v>3</v>
      </c>
      <c r="I9" s="788">
        <v>4</v>
      </c>
      <c r="J9" s="788">
        <v>5</v>
      </c>
      <c r="K9" s="788">
        <v>5</v>
      </c>
      <c r="L9" s="789">
        <v>2</v>
      </c>
      <c r="M9" s="787">
        <v>5</v>
      </c>
      <c r="N9" s="788">
        <v>5</v>
      </c>
      <c r="O9" s="790">
        <v>5</v>
      </c>
      <c r="P9" s="788">
        <v>5</v>
      </c>
      <c r="Q9" s="16" t="s">
        <v>418</v>
      </c>
      <c r="R9" s="788">
        <v>5</v>
      </c>
      <c r="S9" s="16"/>
      <c r="T9" s="16"/>
      <c r="U9" s="16"/>
      <c r="V9" s="16"/>
      <c r="W9" s="16"/>
      <c r="X9" s="16"/>
      <c r="Y9" s="791">
        <v>4</v>
      </c>
      <c r="Z9" s="792">
        <f t="shared" si="0"/>
        <v>4.333333333333333</v>
      </c>
      <c r="AA9" s="766">
        <f t="shared" si="1"/>
        <v>0</v>
      </c>
      <c r="AB9" s="766">
        <f t="shared" si="2"/>
        <v>0</v>
      </c>
      <c r="AD9" s="778" t="s">
        <v>325</v>
      </c>
      <c r="AE9" s="793">
        <f>AE10/2</f>
        <v>12</v>
      </c>
      <c r="AF9" s="793">
        <f>AF10/2</f>
        <v>9</v>
      </c>
      <c r="AG9" s="794" t="s">
        <v>325</v>
      </c>
      <c r="AH9" s="795">
        <f>COUNTIF(C28:C108,"Л")</f>
        <v>7</v>
      </c>
      <c r="AI9" s="795">
        <f>COUNTIF(C29:C80,"пз")</f>
        <v>9</v>
      </c>
      <c r="AJ9" s="796" t="s">
        <v>325</v>
      </c>
      <c r="AK9" s="797">
        <f>AE9-AH9</f>
        <v>5</v>
      </c>
      <c r="AL9" s="783">
        <f>AF9-AI9</f>
        <v>0</v>
      </c>
    </row>
    <row r="10" spans="1:205" s="755" customFormat="1" ht="15.75" customHeight="1">
      <c r="A10" s="798" t="s">
        <v>57</v>
      </c>
      <c r="B10" s="799" t="s">
        <v>58</v>
      </c>
      <c r="C10" s="758">
        <v>5</v>
      </c>
      <c r="D10" s="759">
        <v>5</v>
      </c>
      <c r="E10" s="760">
        <v>5</v>
      </c>
      <c r="F10" s="761">
        <v>5</v>
      </c>
      <c r="G10" s="760">
        <v>5</v>
      </c>
      <c r="H10" s="761">
        <v>5</v>
      </c>
      <c r="I10" s="761">
        <v>4</v>
      </c>
      <c r="J10" s="761">
        <v>4</v>
      </c>
      <c r="K10" s="761">
        <v>5</v>
      </c>
      <c r="L10" s="762">
        <v>5</v>
      </c>
      <c r="M10" s="759">
        <v>5</v>
      </c>
      <c r="N10" s="761">
        <v>5</v>
      </c>
      <c r="O10" s="763">
        <v>5</v>
      </c>
      <c r="P10" s="761">
        <v>5</v>
      </c>
      <c r="Q10" s="760">
        <v>5</v>
      </c>
      <c r="R10" s="761">
        <v>5</v>
      </c>
      <c r="S10" s="760">
        <v>5</v>
      </c>
      <c r="T10" s="760"/>
      <c r="U10" s="760"/>
      <c r="V10" s="760"/>
      <c r="W10" s="760"/>
      <c r="X10" s="760"/>
      <c r="Y10" s="774">
        <v>5</v>
      </c>
      <c r="Z10" s="765">
        <f t="shared" ref="Z10:Z28" si="3">IFERROR(AVERAGE(C10:Y10),"Нет оценок")</f>
        <v>4.8888888888888893</v>
      </c>
      <c r="AA10" s="766">
        <f t="shared" ref="AA10:AA28" si="4">COUNTIF(C10:Y10,"н/у")</f>
        <v>0</v>
      </c>
      <c r="AB10" s="766">
        <f t="shared" ref="AB10:AB28" si="5">COUNTIF(C10:Y10,"н")</f>
        <v>0</v>
      </c>
      <c r="AC10" s="21"/>
      <c r="AD10" s="778" t="s">
        <v>424</v>
      </c>
      <c r="AE10" s="793">
        <v>24</v>
      </c>
      <c r="AF10" s="793">
        <v>18</v>
      </c>
      <c r="AG10" s="800" t="s">
        <v>424</v>
      </c>
      <c r="AH10" s="795">
        <f>AH9*2</f>
        <v>14</v>
      </c>
      <c r="AI10" s="795">
        <f>AI9*2</f>
        <v>18</v>
      </c>
      <c r="AJ10" s="780" t="s">
        <v>424</v>
      </c>
      <c r="AK10" s="797">
        <f>AK9*2</f>
        <v>10</v>
      </c>
      <c r="AL10" s="783">
        <f>AL9*2</f>
        <v>0</v>
      </c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</row>
    <row r="11" spans="1:205" ht="15.75" customHeight="1">
      <c r="A11" s="767" t="s">
        <v>59</v>
      </c>
      <c r="B11" s="781" t="s">
        <v>60</v>
      </c>
      <c r="C11" s="769">
        <v>5</v>
      </c>
      <c r="D11" s="770">
        <v>4</v>
      </c>
      <c r="E11" s="13">
        <v>5</v>
      </c>
      <c r="F11" s="771">
        <v>3</v>
      </c>
      <c r="G11" s="13">
        <v>4</v>
      </c>
      <c r="H11" s="771">
        <v>5</v>
      </c>
      <c r="I11" s="771">
        <v>2</v>
      </c>
      <c r="J11" s="771">
        <v>5</v>
      </c>
      <c r="K11" s="771">
        <v>5</v>
      </c>
      <c r="L11" s="772">
        <v>2</v>
      </c>
      <c r="M11" s="770">
        <v>5</v>
      </c>
      <c r="N11" s="771">
        <v>5</v>
      </c>
      <c r="O11" s="773">
        <v>5</v>
      </c>
      <c r="P11" s="771">
        <v>5</v>
      </c>
      <c r="Q11" s="13">
        <v>5</v>
      </c>
      <c r="R11" s="72">
        <v>4</v>
      </c>
      <c r="S11" s="72"/>
      <c r="T11" s="72"/>
      <c r="U11" s="13"/>
      <c r="V11" s="13"/>
      <c r="W11" s="13"/>
      <c r="X11" s="13"/>
      <c r="Y11" s="774">
        <v>5</v>
      </c>
      <c r="Z11" s="775">
        <f t="shared" si="3"/>
        <v>4.3529411764705879</v>
      </c>
      <c r="AA11" s="766">
        <f t="shared" si="4"/>
        <v>0</v>
      </c>
      <c r="AB11" s="766">
        <f t="shared" si="5"/>
        <v>0</v>
      </c>
    </row>
    <row r="12" spans="1:205" ht="15.75" customHeight="1">
      <c r="A12" s="801" t="s">
        <v>61</v>
      </c>
      <c r="B12" s="802" t="s">
        <v>62</v>
      </c>
      <c r="C12" s="769">
        <v>5</v>
      </c>
      <c r="D12" s="770">
        <v>4</v>
      </c>
      <c r="E12" s="13">
        <v>5</v>
      </c>
      <c r="F12" s="771">
        <v>5</v>
      </c>
      <c r="G12" s="13">
        <v>3</v>
      </c>
      <c r="H12" s="771">
        <v>3</v>
      </c>
      <c r="I12" s="771">
        <v>4</v>
      </c>
      <c r="J12" s="771">
        <v>4</v>
      </c>
      <c r="K12" s="771">
        <v>5</v>
      </c>
      <c r="L12" s="772">
        <v>2</v>
      </c>
      <c r="M12" s="770">
        <v>3</v>
      </c>
      <c r="N12" s="771">
        <v>4</v>
      </c>
      <c r="O12" s="773">
        <v>4</v>
      </c>
      <c r="P12" s="771">
        <v>2</v>
      </c>
      <c r="Q12" s="13">
        <v>5</v>
      </c>
      <c r="R12" s="771"/>
      <c r="S12" s="13"/>
      <c r="T12" s="13"/>
      <c r="U12" s="13"/>
      <c r="V12" s="13"/>
      <c r="W12" s="13"/>
      <c r="X12" s="13"/>
      <c r="Y12" s="774">
        <v>4</v>
      </c>
      <c r="Z12" s="775">
        <f t="shared" si="3"/>
        <v>3.875</v>
      </c>
      <c r="AA12" s="766">
        <f t="shared" si="4"/>
        <v>0</v>
      </c>
      <c r="AB12" s="766">
        <f t="shared" si="5"/>
        <v>0</v>
      </c>
    </row>
    <row r="13" spans="1:205" ht="15.75" customHeight="1">
      <c r="A13" s="801" t="s">
        <v>63</v>
      </c>
      <c r="B13" s="802" t="s">
        <v>64</v>
      </c>
      <c r="C13" s="769">
        <v>2</v>
      </c>
      <c r="D13" s="770">
        <v>2</v>
      </c>
      <c r="E13" s="13">
        <v>2</v>
      </c>
      <c r="F13" s="771">
        <v>2</v>
      </c>
      <c r="G13" s="13">
        <v>2</v>
      </c>
      <c r="H13" s="771" t="s">
        <v>46</v>
      </c>
      <c r="I13" s="771">
        <v>2</v>
      </c>
      <c r="J13" s="771">
        <v>2</v>
      </c>
      <c r="K13" s="771">
        <v>2</v>
      </c>
      <c r="L13" s="772">
        <v>2</v>
      </c>
      <c r="M13" s="770" t="s">
        <v>46</v>
      </c>
      <c r="N13" s="771">
        <v>4</v>
      </c>
      <c r="O13" s="773">
        <v>3</v>
      </c>
      <c r="P13" s="771" t="s">
        <v>46</v>
      </c>
      <c r="Q13" s="13" t="s">
        <v>46</v>
      </c>
      <c r="R13" s="771">
        <v>2</v>
      </c>
      <c r="S13" s="11"/>
      <c r="T13" s="11"/>
      <c r="U13" s="11"/>
      <c r="V13" s="11"/>
      <c r="W13" s="13"/>
      <c r="X13" s="13"/>
      <c r="Y13" s="803" t="s">
        <v>46</v>
      </c>
      <c r="Z13" s="775">
        <f t="shared" si="3"/>
        <v>2.25</v>
      </c>
      <c r="AA13" s="766">
        <f t="shared" si="4"/>
        <v>0</v>
      </c>
      <c r="AB13" s="766">
        <f t="shared" si="5"/>
        <v>5</v>
      </c>
    </row>
    <row r="14" spans="1:205" ht="15.75" customHeight="1">
      <c r="A14" s="804" t="s">
        <v>65</v>
      </c>
      <c r="B14" s="805" t="s">
        <v>66</v>
      </c>
      <c r="C14" s="786">
        <v>5</v>
      </c>
      <c r="D14" s="787" t="s">
        <v>46</v>
      </c>
      <c r="E14" s="16" t="s">
        <v>46</v>
      </c>
      <c r="F14" s="788" t="s">
        <v>46</v>
      </c>
      <c r="G14" s="16" t="s">
        <v>46</v>
      </c>
      <c r="H14" s="788" t="s">
        <v>46</v>
      </c>
      <c r="I14" s="788">
        <v>2</v>
      </c>
      <c r="J14" s="788" t="s">
        <v>46</v>
      </c>
      <c r="K14" s="788" t="s">
        <v>46</v>
      </c>
      <c r="L14" s="789">
        <v>2</v>
      </c>
      <c r="M14" s="787">
        <v>2</v>
      </c>
      <c r="N14" s="788" t="s">
        <v>46</v>
      </c>
      <c r="O14" s="790">
        <v>4</v>
      </c>
      <c r="P14" s="788">
        <v>4</v>
      </c>
      <c r="Q14" s="16">
        <v>3</v>
      </c>
      <c r="R14" s="788" t="s">
        <v>46</v>
      </c>
      <c r="S14" s="16"/>
      <c r="T14" s="16"/>
      <c r="U14" s="16"/>
      <c r="V14" s="16"/>
      <c r="W14" s="16"/>
      <c r="X14" s="16"/>
      <c r="Y14" s="803" t="s">
        <v>46</v>
      </c>
      <c r="Z14" s="792">
        <f t="shared" si="3"/>
        <v>3.1428571428571428</v>
      </c>
      <c r="AA14" s="766">
        <f t="shared" si="4"/>
        <v>0</v>
      </c>
      <c r="AB14" s="766">
        <f t="shared" si="5"/>
        <v>10</v>
      </c>
    </row>
    <row r="15" spans="1:205" s="755" customFormat="1" ht="15.75" customHeight="1">
      <c r="A15" s="806" t="s">
        <v>67</v>
      </c>
      <c r="B15" s="807" t="s">
        <v>68</v>
      </c>
      <c r="C15" s="758">
        <v>3</v>
      </c>
      <c r="D15" s="759">
        <v>5</v>
      </c>
      <c r="E15" s="760">
        <v>3</v>
      </c>
      <c r="F15" s="761">
        <v>5</v>
      </c>
      <c r="G15" s="760">
        <v>4</v>
      </c>
      <c r="H15" s="761">
        <v>5</v>
      </c>
      <c r="I15" s="761">
        <v>4</v>
      </c>
      <c r="J15" s="761">
        <v>4</v>
      </c>
      <c r="K15" s="761">
        <v>5</v>
      </c>
      <c r="L15" s="762">
        <v>3</v>
      </c>
      <c r="M15" s="759">
        <v>5</v>
      </c>
      <c r="N15" s="761">
        <v>5</v>
      </c>
      <c r="O15" s="763">
        <v>3</v>
      </c>
      <c r="P15" s="761">
        <v>5</v>
      </c>
      <c r="Q15" s="760">
        <v>4</v>
      </c>
      <c r="R15" s="761">
        <v>5</v>
      </c>
      <c r="S15" s="760"/>
      <c r="T15" s="760"/>
      <c r="U15" s="760"/>
      <c r="V15" s="760"/>
      <c r="W15" s="760"/>
      <c r="X15" s="760"/>
      <c r="Y15" s="774">
        <v>4</v>
      </c>
      <c r="Z15" s="765">
        <f t="shared" si="3"/>
        <v>4.2352941176470589</v>
      </c>
      <c r="AA15" s="766">
        <f t="shared" si="4"/>
        <v>0</v>
      </c>
      <c r="AB15" s="766">
        <f t="shared" si="5"/>
        <v>0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</row>
    <row r="16" spans="1:205" ht="15.75" customHeight="1">
      <c r="A16" s="801" t="s">
        <v>71</v>
      </c>
      <c r="B16" s="802" t="s">
        <v>70</v>
      </c>
      <c r="C16" s="769">
        <v>4</v>
      </c>
      <c r="D16" s="770">
        <v>4</v>
      </c>
      <c r="E16" s="13">
        <v>5</v>
      </c>
      <c r="F16" s="771">
        <v>5</v>
      </c>
      <c r="G16" s="13">
        <v>4</v>
      </c>
      <c r="H16" s="771">
        <v>4</v>
      </c>
      <c r="I16" s="771">
        <v>2</v>
      </c>
      <c r="J16" s="771">
        <v>4</v>
      </c>
      <c r="K16" s="771">
        <v>5</v>
      </c>
      <c r="L16" s="772">
        <v>5</v>
      </c>
      <c r="M16" s="770" t="s">
        <v>418</v>
      </c>
      <c r="N16" s="771">
        <v>5</v>
      </c>
      <c r="O16" s="773">
        <v>4</v>
      </c>
      <c r="P16" s="771">
        <v>5</v>
      </c>
      <c r="Q16" s="13"/>
      <c r="R16" s="788">
        <v>5</v>
      </c>
      <c r="S16" s="16"/>
      <c r="T16" s="13"/>
      <c r="U16" s="13"/>
      <c r="V16" s="13"/>
      <c r="W16" s="13"/>
      <c r="X16" s="13"/>
      <c r="Y16" s="791">
        <v>5</v>
      </c>
      <c r="Z16" s="775">
        <f t="shared" si="3"/>
        <v>4.4000000000000004</v>
      </c>
      <c r="AA16" s="766">
        <f t="shared" si="4"/>
        <v>0</v>
      </c>
      <c r="AB16" s="766">
        <f t="shared" si="5"/>
        <v>0</v>
      </c>
    </row>
    <row r="17" spans="1:205" ht="15.75" customHeight="1">
      <c r="A17" s="801" t="s">
        <v>69</v>
      </c>
      <c r="B17" s="802" t="s">
        <v>72</v>
      </c>
      <c r="C17" s="769"/>
      <c r="D17" s="770">
        <v>4</v>
      </c>
      <c r="E17" s="13"/>
      <c r="F17" s="771">
        <v>4</v>
      </c>
      <c r="G17" s="13"/>
      <c r="H17" s="771">
        <v>5</v>
      </c>
      <c r="I17" s="771">
        <v>2</v>
      </c>
      <c r="J17" s="771">
        <v>5</v>
      </c>
      <c r="K17" s="771">
        <v>4</v>
      </c>
      <c r="L17" s="772">
        <v>2</v>
      </c>
      <c r="M17" s="770" t="s">
        <v>418</v>
      </c>
      <c r="N17" s="771">
        <v>5</v>
      </c>
      <c r="O17" s="773">
        <v>4</v>
      </c>
      <c r="P17" s="771" t="s">
        <v>418</v>
      </c>
      <c r="Q17" s="13"/>
      <c r="R17" s="13" t="s">
        <v>48</v>
      </c>
      <c r="S17" s="13"/>
      <c r="T17" s="13"/>
      <c r="U17" s="13"/>
      <c r="V17" s="13"/>
      <c r="W17" s="13"/>
      <c r="X17" s="13"/>
      <c r="Y17" s="803" t="s">
        <v>46</v>
      </c>
      <c r="Z17" s="775">
        <f t="shared" si="3"/>
        <v>3.8888888888888888</v>
      </c>
      <c r="AA17" s="766">
        <f t="shared" si="4"/>
        <v>1</v>
      </c>
      <c r="AB17" s="766">
        <f t="shared" si="5"/>
        <v>1</v>
      </c>
    </row>
    <row r="18" spans="1:205" ht="15.75" customHeight="1">
      <c r="A18" s="801" t="s">
        <v>73</v>
      </c>
      <c r="B18" s="802" t="s">
        <v>425</v>
      </c>
      <c r="C18" s="769">
        <v>3</v>
      </c>
      <c r="D18" s="770">
        <v>3</v>
      </c>
      <c r="E18" s="13">
        <v>5</v>
      </c>
      <c r="F18" s="771">
        <v>3</v>
      </c>
      <c r="G18" s="13">
        <v>5</v>
      </c>
      <c r="H18" s="771">
        <v>5</v>
      </c>
      <c r="I18" s="771">
        <v>4</v>
      </c>
      <c r="J18" s="771">
        <v>4</v>
      </c>
      <c r="K18" s="771">
        <v>4</v>
      </c>
      <c r="L18" s="772">
        <v>4</v>
      </c>
      <c r="M18" s="770">
        <v>4</v>
      </c>
      <c r="N18" s="771">
        <v>5</v>
      </c>
      <c r="O18" s="773">
        <v>4</v>
      </c>
      <c r="P18" s="771">
        <v>5</v>
      </c>
      <c r="Q18" s="13"/>
      <c r="R18" s="771">
        <v>5</v>
      </c>
      <c r="S18" s="13"/>
      <c r="T18" s="13"/>
      <c r="U18" s="13"/>
      <c r="V18" s="13"/>
      <c r="W18" s="13"/>
      <c r="X18" s="13"/>
      <c r="Y18" s="774">
        <v>4</v>
      </c>
      <c r="Z18" s="775">
        <f t="shared" si="3"/>
        <v>4.1875</v>
      </c>
      <c r="AA18" s="766">
        <f t="shared" si="4"/>
        <v>0</v>
      </c>
      <c r="AB18" s="766">
        <f t="shared" si="5"/>
        <v>0</v>
      </c>
    </row>
    <row r="19" spans="1:205" ht="15.75" customHeight="1">
      <c r="A19" s="804" t="s">
        <v>75</v>
      </c>
      <c r="B19" s="805" t="s">
        <v>76</v>
      </c>
      <c r="C19" s="786">
        <v>3</v>
      </c>
      <c r="D19" s="787">
        <v>4</v>
      </c>
      <c r="E19" s="16">
        <v>5</v>
      </c>
      <c r="F19" s="788">
        <v>5</v>
      </c>
      <c r="G19" s="16">
        <v>4</v>
      </c>
      <c r="H19" s="788">
        <v>2</v>
      </c>
      <c r="I19" s="788">
        <v>4</v>
      </c>
      <c r="J19" s="788">
        <v>4</v>
      </c>
      <c r="K19" s="788">
        <v>5</v>
      </c>
      <c r="L19" s="789">
        <v>5</v>
      </c>
      <c r="M19" s="787">
        <v>4</v>
      </c>
      <c r="N19" s="788">
        <v>5</v>
      </c>
      <c r="O19" s="790">
        <v>5</v>
      </c>
      <c r="P19" s="788">
        <v>5</v>
      </c>
      <c r="Q19" s="16">
        <v>5</v>
      </c>
      <c r="R19" s="788">
        <v>5</v>
      </c>
      <c r="S19" s="16"/>
      <c r="T19" s="16"/>
      <c r="U19" s="16"/>
      <c r="V19" s="16"/>
      <c r="W19" s="16"/>
      <c r="X19" s="16"/>
      <c r="Y19" s="774">
        <v>5</v>
      </c>
      <c r="Z19" s="792">
        <f t="shared" si="3"/>
        <v>4.4117647058823533</v>
      </c>
      <c r="AA19" s="766">
        <f t="shared" si="4"/>
        <v>0</v>
      </c>
      <c r="AB19" s="766">
        <f t="shared" si="5"/>
        <v>0</v>
      </c>
    </row>
    <row r="20" spans="1:205" s="755" customFormat="1" ht="15.75" customHeight="1">
      <c r="A20" s="798" t="s">
        <v>77</v>
      </c>
      <c r="B20" s="799" t="s">
        <v>78</v>
      </c>
      <c r="C20" s="758">
        <v>5</v>
      </c>
      <c r="D20" s="759">
        <v>5</v>
      </c>
      <c r="E20" s="760">
        <v>5</v>
      </c>
      <c r="F20" s="761">
        <v>5</v>
      </c>
      <c r="G20" s="760">
        <v>5</v>
      </c>
      <c r="H20" s="761">
        <v>5</v>
      </c>
      <c r="I20" s="761">
        <v>5</v>
      </c>
      <c r="J20" s="761">
        <v>5</v>
      </c>
      <c r="K20" s="761">
        <v>5</v>
      </c>
      <c r="L20" s="762">
        <v>4</v>
      </c>
      <c r="M20" s="759">
        <v>5</v>
      </c>
      <c r="N20" s="761">
        <v>5</v>
      </c>
      <c r="O20" s="763">
        <v>4</v>
      </c>
      <c r="P20" s="761">
        <v>5</v>
      </c>
      <c r="Q20" s="760">
        <v>5</v>
      </c>
      <c r="R20" s="761">
        <v>5</v>
      </c>
      <c r="S20" s="760">
        <v>5</v>
      </c>
      <c r="T20" s="760"/>
      <c r="U20" s="760"/>
      <c r="V20" s="760"/>
      <c r="W20" s="760"/>
      <c r="X20" s="760"/>
      <c r="Y20" s="774">
        <v>5</v>
      </c>
      <c r="Z20" s="765">
        <f t="shared" si="3"/>
        <v>4.8888888888888893</v>
      </c>
      <c r="AA20" s="766">
        <f t="shared" si="4"/>
        <v>0</v>
      </c>
      <c r="AB20" s="766">
        <f t="shared" si="5"/>
        <v>0</v>
      </c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</row>
    <row r="21" spans="1:205" ht="15.75" customHeight="1">
      <c r="A21" s="801" t="s">
        <v>79</v>
      </c>
      <c r="B21" s="802" t="s">
        <v>80</v>
      </c>
      <c r="C21" s="769">
        <v>5</v>
      </c>
      <c r="D21" s="770">
        <v>5</v>
      </c>
      <c r="E21" s="13">
        <v>5</v>
      </c>
      <c r="F21" s="771">
        <v>4</v>
      </c>
      <c r="G21" s="13">
        <v>3</v>
      </c>
      <c r="H21" s="771">
        <v>4</v>
      </c>
      <c r="I21" s="771">
        <v>4</v>
      </c>
      <c r="J21" s="771">
        <v>4</v>
      </c>
      <c r="K21" s="771">
        <v>5</v>
      </c>
      <c r="L21" s="772">
        <v>3</v>
      </c>
      <c r="M21" s="770">
        <v>3</v>
      </c>
      <c r="N21" s="771" t="s">
        <v>418</v>
      </c>
      <c r="O21" s="773">
        <v>5</v>
      </c>
      <c r="P21" s="771">
        <v>5</v>
      </c>
      <c r="Q21" s="13"/>
      <c r="R21" s="771"/>
      <c r="S21" s="13"/>
      <c r="T21" s="13"/>
      <c r="U21" s="13"/>
      <c r="V21" s="13"/>
      <c r="W21" s="13"/>
      <c r="X21" s="13"/>
      <c r="Y21" s="774">
        <v>4</v>
      </c>
      <c r="Z21" s="775">
        <f t="shared" si="3"/>
        <v>4.2142857142857144</v>
      </c>
      <c r="AA21" s="766">
        <f t="shared" si="4"/>
        <v>0</v>
      </c>
      <c r="AB21" s="766">
        <f t="shared" si="5"/>
        <v>0</v>
      </c>
    </row>
    <row r="22" spans="1:205" ht="15.75" customHeight="1">
      <c r="A22" s="767" t="s">
        <v>81</v>
      </c>
      <c r="B22" s="781" t="s">
        <v>82</v>
      </c>
      <c r="C22" s="769">
        <v>5</v>
      </c>
      <c r="D22" s="770">
        <v>4</v>
      </c>
      <c r="E22" s="13">
        <v>5</v>
      </c>
      <c r="F22" s="771">
        <v>4</v>
      </c>
      <c r="G22" s="13">
        <v>5</v>
      </c>
      <c r="H22" s="771">
        <v>4</v>
      </c>
      <c r="I22" s="771">
        <v>3</v>
      </c>
      <c r="J22" s="771">
        <v>5</v>
      </c>
      <c r="K22" s="771">
        <v>5</v>
      </c>
      <c r="L22" s="772">
        <v>4</v>
      </c>
      <c r="M22" s="770">
        <v>5</v>
      </c>
      <c r="N22" s="771">
        <v>4</v>
      </c>
      <c r="O22" s="773">
        <v>4</v>
      </c>
      <c r="P22" s="771">
        <v>4</v>
      </c>
      <c r="Q22" s="13">
        <v>5</v>
      </c>
      <c r="R22" s="771">
        <v>5</v>
      </c>
      <c r="S22" s="13"/>
      <c r="T22" s="13"/>
      <c r="U22" s="13"/>
      <c r="V22" s="13"/>
      <c r="W22" s="13"/>
      <c r="X22" s="13"/>
      <c r="Y22" s="774">
        <v>5</v>
      </c>
      <c r="Z22" s="775">
        <f t="shared" si="3"/>
        <v>4.4705882352941178</v>
      </c>
      <c r="AA22" s="766">
        <f t="shared" si="4"/>
        <v>0</v>
      </c>
      <c r="AB22" s="766">
        <f t="shared" si="5"/>
        <v>0</v>
      </c>
    </row>
    <row r="23" spans="1:205" ht="15.75" customHeight="1">
      <c r="A23" s="767" t="s">
        <v>83</v>
      </c>
      <c r="B23" s="781" t="s">
        <v>84</v>
      </c>
      <c r="C23" s="769"/>
      <c r="D23" s="770">
        <v>5</v>
      </c>
      <c r="E23" s="13">
        <v>5</v>
      </c>
      <c r="F23" s="771">
        <v>5</v>
      </c>
      <c r="G23" s="13">
        <v>3</v>
      </c>
      <c r="H23" s="771">
        <v>5</v>
      </c>
      <c r="I23" s="771">
        <v>5</v>
      </c>
      <c r="J23" s="771">
        <v>5</v>
      </c>
      <c r="K23" s="771">
        <v>5</v>
      </c>
      <c r="L23" s="772">
        <v>5</v>
      </c>
      <c r="M23" s="770">
        <v>4</v>
      </c>
      <c r="N23" s="771">
        <v>5</v>
      </c>
      <c r="O23" s="773">
        <v>5</v>
      </c>
      <c r="P23" s="771" t="s">
        <v>418</v>
      </c>
      <c r="Q23" s="13" t="s">
        <v>418</v>
      </c>
      <c r="R23" s="771" t="s">
        <v>418</v>
      </c>
      <c r="S23" s="13"/>
      <c r="T23" s="13"/>
      <c r="U23" s="13"/>
      <c r="V23" s="13"/>
      <c r="W23" s="13"/>
      <c r="X23" s="13"/>
      <c r="Y23" s="791">
        <v>5</v>
      </c>
      <c r="Z23" s="775">
        <f t="shared" si="3"/>
        <v>4.7692307692307692</v>
      </c>
      <c r="AA23" s="766">
        <f t="shared" si="4"/>
        <v>0</v>
      </c>
      <c r="AB23" s="766">
        <f t="shared" si="5"/>
        <v>0</v>
      </c>
    </row>
    <row r="24" spans="1:205" ht="15.75" customHeight="1">
      <c r="A24" s="808" t="s">
        <v>27</v>
      </c>
      <c r="B24" s="809" t="s">
        <v>85</v>
      </c>
      <c r="C24" s="786">
        <v>4</v>
      </c>
      <c r="D24" s="787">
        <v>5</v>
      </c>
      <c r="E24" s="16">
        <v>5</v>
      </c>
      <c r="F24" s="788">
        <v>5</v>
      </c>
      <c r="G24" s="16">
        <v>5</v>
      </c>
      <c r="H24" s="788">
        <v>4</v>
      </c>
      <c r="I24" s="788">
        <v>2</v>
      </c>
      <c r="J24" s="788">
        <v>4</v>
      </c>
      <c r="K24" s="788">
        <v>5</v>
      </c>
      <c r="L24" s="789">
        <v>5</v>
      </c>
      <c r="M24" s="787">
        <v>5</v>
      </c>
      <c r="N24" s="788">
        <v>5</v>
      </c>
      <c r="O24" s="790">
        <v>4</v>
      </c>
      <c r="P24" s="788">
        <v>5</v>
      </c>
      <c r="Q24" s="16">
        <v>5</v>
      </c>
      <c r="R24" s="788">
        <v>5</v>
      </c>
      <c r="S24" s="16">
        <v>5</v>
      </c>
      <c r="T24" s="16" t="s">
        <v>34</v>
      </c>
      <c r="U24" s="16"/>
      <c r="V24" s="16"/>
      <c r="W24" s="16"/>
      <c r="X24" s="16"/>
      <c r="Y24" s="791">
        <v>5</v>
      </c>
      <c r="Z24" s="792">
        <f t="shared" si="3"/>
        <v>4.6111111111111107</v>
      </c>
      <c r="AA24" s="766">
        <f t="shared" si="4"/>
        <v>0</v>
      </c>
      <c r="AB24" s="766">
        <f t="shared" si="5"/>
        <v>0</v>
      </c>
    </row>
    <row r="25" spans="1:205" s="755" customFormat="1" ht="14.25" customHeight="1">
      <c r="A25" s="756" t="s">
        <v>86</v>
      </c>
      <c r="B25" s="757" t="s">
        <v>87</v>
      </c>
      <c r="C25" s="758" t="s">
        <v>46</v>
      </c>
      <c r="D25" s="759" t="s">
        <v>418</v>
      </c>
      <c r="E25" s="760" t="s">
        <v>46</v>
      </c>
      <c r="F25" s="761">
        <v>4</v>
      </c>
      <c r="G25" s="760" t="s">
        <v>46</v>
      </c>
      <c r="H25" s="761">
        <v>4</v>
      </c>
      <c r="I25" s="761">
        <v>2</v>
      </c>
      <c r="J25" s="761">
        <v>5</v>
      </c>
      <c r="K25" s="761" t="s">
        <v>46</v>
      </c>
      <c r="L25" s="762">
        <v>2</v>
      </c>
      <c r="M25" s="759" t="s">
        <v>46</v>
      </c>
      <c r="N25" s="761">
        <v>4</v>
      </c>
      <c r="O25" s="763">
        <v>4</v>
      </c>
      <c r="P25" s="761">
        <v>5</v>
      </c>
      <c r="Q25" s="760" t="s">
        <v>46</v>
      </c>
      <c r="R25" s="761">
        <v>5</v>
      </c>
      <c r="S25" s="760" t="s">
        <v>46</v>
      </c>
      <c r="T25" s="810"/>
      <c r="U25" s="811" t="s">
        <v>48</v>
      </c>
      <c r="V25" s="812"/>
      <c r="W25" s="760"/>
      <c r="X25" s="760"/>
      <c r="Y25" s="813" t="s">
        <v>46</v>
      </c>
      <c r="Z25" s="765">
        <f t="shared" si="3"/>
        <v>3.8888888888888888</v>
      </c>
      <c r="AA25" s="766">
        <f t="shared" si="4"/>
        <v>1</v>
      </c>
      <c r="AB25" s="766">
        <f t="shared" si="5"/>
        <v>8</v>
      </c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</row>
    <row r="26" spans="1:205" ht="15.75" hidden="1" customHeight="1">
      <c r="A26" s="767" t="s">
        <v>89</v>
      </c>
      <c r="B26" s="781" t="s">
        <v>88</v>
      </c>
      <c r="C26" s="769"/>
      <c r="D26" s="770"/>
      <c r="E26" s="13"/>
      <c r="F26" s="771"/>
      <c r="G26" s="13"/>
      <c r="H26" s="771"/>
      <c r="I26" s="771"/>
      <c r="J26" s="771"/>
      <c r="K26" s="771"/>
      <c r="L26" s="772"/>
      <c r="M26" s="770"/>
      <c r="N26" s="771"/>
      <c r="O26" s="773"/>
      <c r="P26" s="771"/>
      <c r="Q26" s="13"/>
      <c r="R26" s="771"/>
      <c r="S26" s="13"/>
      <c r="T26" s="13"/>
      <c r="U26" s="814"/>
      <c r="V26" s="13"/>
      <c r="W26" s="13"/>
      <c r="X26" s="13"/>
      <c r="Y26" s="774"/>
      <c r="Z26" s="775" t="str">
        <f t="shared" si="3"/>
        <v>Нет оценок</v>
      </c>
      <c r="AA26" s="766">
        <f t="shared" si="4"/>
        <v>0</v>
      </c>
      <c r="AB26" s="766">
        <f t="shared" si="5"/>
        <v>0</v>
      </c>
    </row>
    <row r="27" spans="1:205" ht="15" customHeight="1">
      <c r="A27" s="767" t="s">
        <v>91</v>
      </c>
      <c r="B27" s="781" t="s">
        <v>90</v>
      </c>
      <c r="C27" s="769">
        <v>4</v>
      </c>
      <c r="D27" s="770">
        <v>4</v>
      </c>
      <c r="E27" s="13">
        <v>5</v>
      </c>
      <c r="F27" s="771">
        <v>5</v>
      </c>
      <c r="G27" s="13">
        <v>2</v>
      </c>
      <c r="H27" s="771">
        <v>5</v>
      </c>
      <c r="I27" s="771">
        <v>4</v>
      </c>
      <c r="J27" s="771">
        <v>4</v>
      </c>
      <c r="K27" s="771">
        <v>4</v>
      </c>
      <c r="L27" s="772">
        <v>4</v>
      </c>
      <c r="M27" s="770">
        <v>4</v>
      </c>
      <c r="N27" s="771">
        <v>5</v>
      </c>
      <c r="O27" s="773">
        <v>3</v>
      </c>
      <c r="P27" s="771">
        <v>5</v>
      </c>
      <c r="Q27" s="13">
        <v>5</v>
      </c>
      <c r="R27" s="771">
        <v>3</v>
      </c>
      <c r="S27" s="13">
        <v>5</v>
      </c>
      <c r="T27" s="13"/>
      <c r="U27" s="13"/>
      <c r="V27" s="815"/>
      <c r="W27" s="816"/>
      <c r="X27" s="816"/>
      <c r="Y27" s="774">
        <v>5</v>
      </c>
      <c r="Z27" s="775">
        <f t="shared" si="3"/>
        <v>4.2222222222222223</v>
      </c>
      <c r="AA27" s="766">
        <f t="shared" si="4"/>
        <v>0</v>
      </c>
      <c r="AB27" s="766">
        <f t="shared" si="5"/>
        <v>0</v>
      </c>
    </row>
    <row r="28" spans="1:205" ht="15.75" customHeight="1">
      <c r="A28" s="784" t="s">
        <v>302</v>
      </c>
      <c r="B28" s="785" t="s">
        <v>92</v>
      </c>
      <c r="C28" s="817"/>
      <c r="D28" s="818">
        <v>5</v>
      </c>
      <c r="E28" s="819" t="s">
        <v>418</v>
      </c>
      <c r="F28" s="820">
        <v>5</v>
      </c>
      <c r="G28" s="819" t="s">
        <v>418</v>
      </c>
      <c r="H28" s="788">
        <v>5</v>
      </c>
      <c r="I28" s="788">
        <v>5</v>
      </c>
      <c r="J28" s="788">
        <v>5</v>
      </c>
      <c r="K28" s="788">
        <v>5</v>
      </c>
      <c r="L28" s="789">
        <v>5</v>
      </c>
      <c r="M28" s="787">
        <v>4</v>
      </c>
      <c r="N28" s="788">
        <v>5</v>
      </c>
      <c r="O28" s="790">
        <v>5</v>
      </c>
      <c r="P28" s="788">
        <v>5</v>
      </c>
      <c r="Q28" s="16" t="s">
        <v>418</v>
      </c>
      <c r="R28" s="788">
        <v>5</v>
      </c>
      <c r="S28" s="16"/>
      <c r="T28" s="16" t="s">
        <v>418</v>
      </c>
      <c r="U28" s="16" t="s">
        <v>418</v>
      </c>
      <c r="V28" s="16"/>
      <c r="W28" s="16"/>
      <c r="X28" s="16"/>
      <c r="Y28" s="791">
        <v>5</v>
      </c>
      <c r="Z28" s="792">
        <f t="shared" si="3"/>
        <v>4.9230769230769234</v>
      </c>
      <c r="AA28" s="766">
        <f t="shared" si="4"/>
        <v>0</v>
      </c>
      <c r="AB28" s="766">
        <f t="shared" si="5"/>
        <v>0</v>
      </c>
    </row>
    <row r="29" spans="1:205" s="821" customFormat="1" ht="36" customHeight="1">
      <c r="A29" s="822" t="s">
        <v>93</v>
      </c>
      <c r="B29" s="822" t="s">
        <v>94</v>
      </c>
      <c r="D29" s="823" t="s">
        <v>176</v>
      </c>
      <c r="F29" s="823" t="s">
        <v>177</v>
      </c>
      <c r="H29" s="823" t="s">
        <v>178</v>
      </c>
      <c r="I29" s="823" t="s">
        <v>179</v>
      </c>
      <c r="J29" s="823" t="s">
        <v>180</v>
      </c>
      <c r="K29" s="823" t="s">
        <v>426</v>
      </c>
      <c r="L29" s="823" t="s">
        <v>427</v>
      </c>
      <c r="M29" s="823" t="s">
        <v>428</v>
      </c>
      <c r="N29" s="823" t="s">
        <v>429</v>
      </c>
      <c r="O29" s="824" t="s">
        <v>430</v>
      </c>
      <c r="P29" s="823" t="s">
        <v>431</v>
      </c>
      <c r="R29" s="823" t="s">
        <v>432</v>
      </c>
      <c r="Z29" s="825">
        <f>IFERROR(AVERAGE(Z5:Z28),"")</f>
        <v>4.2109913140283979</v>
      </c>
      <c r="AA29" s="822">
        <f>SUM(AA5:AA28)</f>
        <v>2</v>
      </c>
      <c r="AB29" s="822">
        <f>SUM(AB5:AB28)</f>
        <v>28</v>
      </c>
      <c r="AC29" s="826"/>
      <c r="AD29" s="826"/>
      <c r="AE29" s="826"/>
      <c r="AF29" s="826"/>
      <c r="AG29" s="826"/>
      <c r="AH29" s="826"/>
      <c r="AI29" s="826"/>
      <c r="AJ29" s="826"/>
      <c r="AK29" s="826"/>
      <c r="AL29" s="826"/>
      <c r="AM29" s="826"/>
      <c r="AN29" s="826"/>
      <c r="AO29" s="826"/>
      <c r="AP29" s="826"/>
      <c r="AQ29" s="826"/>
      <c r="AR29" s="826"/>
      <c r="AS29" s="826"/>
      <c r="AT29" s="826"/>
      <c r="AU29" s="826"/>
      <c r="AV29" s="826"/>
      <c r="AW29" s="826"/>
      <c r="AX29" s="826"/>
      <c r="AY29" s="826"/>
      <c r="AZ29" s="826"/>
      <c r="BA29" s="826"/>
      <c r="BB29" s="826"/>
      <c r="BC29" s="826"/>
      <c r="BD29" s="826"/>
      <c r="BE29" s="826"/>
      <c r="BF29" s="826"/>
      <c r="BG29" s="826"/>
      <c r="BH29" s="826"/>
      <c r="BI29" s="826"/>
      <c r="BJ29" s="826"/>
      <c r="BK29" s="826"/>
      <c r="BL29" s="826"/>
      <c r="BM29" s="826"/>
      <c r="BN29" s="826"/>
      <c r="BO29" s="826"/>
      <c r="BP29" s="826"/>
      <c r="BQ29" s="826"/>
      <c r="BR29" s="826"/>
      <c r="BS29" s="826"/>
      <c r="BT29" s="826"/>
      <c r="BU29" s="826"/>
      <c r="BV29" s="826"/>
      <c r="BW29" s="826"/>
      <c r="BX29" s="826"/>
      <c r="BY29" s="826"/>
      <c r="BZ29" s="826"/>
      <c r="CA29" s="826"/>
      <c r="CB29" s="826"/>
      <c r="CC29" s="826"/>
      <c r="CD29" s="826"/>
      <c r="CE29" s="826"/>
      <c r="CF29" s="826"/>
      <c r="CG29" s="826"/>
      <c r="CH29" s="826"/>
      <c r="CI29" s="826"/>
      <c r="CJ29" s="826"/>
      <c r="CK29" s="826"/>
      <c r="CL29" s="826"/>
      <c r="CM29" s="826"/>
      <c r="CN29" s="826"/>
      <c r="CO29" s="826"/>
      <c r="CP29" s="826"/>
      <c r="CQ29" s="826"/>
      <c r="CR29" s="826"/>
      <c r="CS29" s="826"/>
      <c r="CT29" s="826"/>
      <c r="CU29" s="826"/>
      <c r="CV29" s="826"/>
      <c r="CW29" s="826"/>
      <c r="CX29" s="826"/>
      <c r="CY29" s="826"/>
      <c r="CZ29" s="826"/>
      <c r="DA29" s="826"/>
      <c r="DB29" s="826"/>
      <c r="DC29" s="826"/>
      <c r="DD29" s="826"/>
      <c r="DE29" s="826"/>
      <c r="DF29" s="826"/>
      <c r="DG29" s="826"/>
      <c r="DH29" s="826"/>
      <c r="DI29" s="826"/>
      <c r="DJ29" s="826"/>
      <c r="DK29" s="826"/>
      <c r="DL29" s="826"/>
      <c r="DM29" s="826"/>
      <c r="DN29" s="826"/>
      <c r="DO29" s="826"/>
      <c r="DP29" s="826"/>
      <c r="DQ29" s="826"/>
      <c r="DR29" s="826"/>
      <c r="DS29" s="826"/>
      <c r="DT29" s="826"/>
      <c r="DU29" s="826"/>
      <c r="DV29" s="826"/>
      <c r="DW29" s="826"/>
      <c r="DX29" s="826"/>
      <c r="DY29" s="826"/>
      <c r="DZ29" s="826"/>
      <c r="EA29" s="826"/>
      <c r="EB29" s="826"/>
      <c r="EC29" s="826"/>
      <c r="ED29" s="826"/>
      <c r="EE29" s="826"/>
      <c r="EF29" s="826"/>
      <c r="EG29" s="826"/>
      <c r="EH29" s="826"/>
      <c r="EI29" s="826"/>
      <c r="EJ29" s="826"/>
      <c r="EK29" s="826"/>
      <c r="EL29" s="826"/>
      <c r="EM29" s="826"/>
      <c r="EN29" s="826"/>
      <c r="EO29" s="826"/>
      <c r="EP29" s="826"/>
      <c r="EQ29" s="826"/>
      <c r="ER29" s="826"/>
      <c r="ES29" s="826"/>
      <c r="ET29" s="826"/>
      <c r="EU29" s="826"/>
      <c r="EV29" s="826"/>
      <c r="EW29" s="826"/>
      <c r="EX29" s="826"/>
      <c r="EY29" s="826"/>
      <c r="EZ29" s="826"/>
      <c r="FA29" s="826"/>
      <c r="FB29" s="826"/>
      <c r="FC29" s="826"/>
      <c r="FD29" s="826"/>
      <c r="FE29" s="826"/>
      <c r="FF29" s="826"/>
      <c r="FG29" s="826"/>
      <c r="FH29" s="826"/>
      <c r="FI29" s="826"/>
      <c r="FJ29" s="826"/>
      <c r="FK29" s="826"/>
      <c r="FL29" s="826"/>
      <c r="FM29" s="826"/>
      <c r="FN29" s="826"/>
      <c r="FO29" s="826"/>
      <c r="FP29" s="826"/>
      <c r="FQ29" s="826"/>
      <c r="FR29" s="826"/>
      <c r="FS29" s="826"/>
      <c r="FT29" s="826"/>
      <c r="FU29" s="826"/>
      <c r="FV29" s="826"/>
      <c r="FW29" s="826"/>
      <c r="FX29" s="826"/>
      <c r="FY29" s="826"/>
      <c r="FZ29" s="826"/>
      <c r="GA29" s="826"/>
      <c r="GB29" s="826"/>
      <c r="GC29" s="826"/>
      <c r="GD29" s="826"/>
      <c r="GE29" s="826"/>
      <c r="GF29" s="826"/>
      <c r="GG29" s="826"/>
      <c r="GH29" s="826"/>
      <c r="GI29" s="826"/>
      <c r="GJ29" s="826"/>
      <c r="GK29" s="826"/>
      <c r="GL29" s="826"/>
      <c r="GM29" s="826"/>
      <c r="GN29" s="826"/>
      <c r="GO29" s="826"/>
      <c r="GP29" s="826"/>
      <c r="GQ29" s="826"/>
      <c r="GR29" s="826"/>
      <c r="GS29" s="826"/>
      <c r="GT29" s="826"/>
      <c r="GU29" s="826"/>
      <c r="GV29" s="826"/>
      <c r="GW29" s="826"/>
    </row>
    <row r="30" spans="1:205" ht="15.75">
      <c r="A30" s="827">
        <v>45920</v>
      </c>
      <c r="B30" s="828" t="s">
        <v>433</v>
      </c>
      <c r="C30" s="6" t="s">
        <v>324</v>
      </c>
      <c r="X30" s="829" t="s">
        <v>434</v>
      </c>
      <c r="Y30" s="467">
        <f>COUNTIF(Y5:Y29,"5")</f>
        <v>11</v>
      </c>
    </row>
    <row r="31" spans="1:205" ht="30">
      <c r="A31" s="830">
        <v>45936</v>
      </c>
      <c r="B31" s="831" t="s">
        <v>435</v>
      </c>
      <c r="C31" s="771" t="s">
        <v>423</v>
      </c>
      <c r="X31" s="467" t="s">
        <v>436</v>
      </c>
      <c r="Y31" s="467">
        <f>COUNTIF(Y5:Y29,"4")</f>
        <v>7</v>
      </c>
    </row>
    <row r="32" spans="1:205">
      <c r="A32" s="832">
        <v>45944</v>
      </c>
      <c r="B32" s="828" t="s">
        <v>437</v>
      </c>
      <c r="C32" s="6" t="s">
        <v>324</v>
      </c>
      <c r="X32" s="467" t="s">
        <v>438</v>
      </c>
      <c r="Y32" s="467">
        <f>COUNTIF(Y5:Y29,"3")</f>
        <v>0</v>
      </c>
    </row>
    <row r="33" spans="1:25" ht="30">
      <c r="A33" s="833">
        <v>45944</v>
      </c>
      <c r="B33" s="831" t="s">
        <v>439</v>
      </c>
      <c r="C33" s="771" t="s">
        <v>423</v>
      </c>
      <c r="F33" s="834" t="s">
        <v>321</v>
      </c>
      <c r="G33" s="1353" t="s">
        <v>440</v>
      </c>
      <c r="H33" s="1353"/>
      <c r="I33" s="1353"/>
      <c r="J33" s="1353"/>
      <c r="K33" s="1353"/>
      <c r="L33" s="1353"/>
      <c r="M33" s="1353"/>
      <c r="N33" s="1353"/>
      <c r="X33" s="467" t="s">
        <v>441</v>
      </c>
      <c r="Y33" s="467">
        <f>COUNTIF(Y5:Y29,"2")</f>
        <v>0</v>
      </c>
    </row>
    <row r="34" spans="1:25" ht="45">
      <c r="A34" s="827">
        <v>45947</v>
      </c>
      <c r="B34" s="828" t="s">
        <v>442</v>
      </c>
      <c r="C34" s="6" t="s">
        <v>324</v>
      </c>
      <c r="X34" s="835" t="s">
        <v>443</v>
      </c>
      <c r="Y34" s="467">
        <f>COUNTIF(Y5:Y29,"н")</f>
        <v>5</v>
      </c>
    </row>
    <row r="35" spans="1:25">
      <c r="A35" s="1354">
        <v>45951</v>
      </c>
      <c r="B35" s="831" t="s">
        <v>330</v>
      </c>
      <c r="C35" s="1356" t="s">
        <v>444</v>
      </c>
    </row>
    <row r="36" spans="1:25">
      <c r="A36" s="1355"/>
      <c r="B36" s="831" t="s">
        <v>331</v>
      </c>
      <c r="C36" s="1357"/>
    </row>
    <row r="37" spans="1:25">
      <c r="A37" s="830">
        <v>45953</v>
      </c>
      <c r="B37" s="831" t="s">
        <v>333</v>
      </c>
      <c r="C37" s="771" t="s">
        <v>444</v>
      </c>
    </row>
    <row r="38" spans="1:25" ht="45">
      <c r="A38" s="1358">
        <v>45957</v>
      </c>
      <c r="B38" s="836" t="s">
        <v>445</v>
      </c>
      <c r="C38" s="1360" t="s">
        <v>444</v>
      </c>
    </row>
    <row r="39" spans="1:25" ht="30">
      <c r="A39" s="1359"/>
      <c r="B39" s="831" t="s">
        <v>446</v>
      </c>
      <c r="C39" s="1357"/>
    </row>
    <row r="40" spans="1:25" ht="45">
      <c r="A40" s="830" t="s">
        <v>447</v>
      </c>
      <c r="B40" s="831" t="s">
        <v>448</v>
      </c>
      <c r="C40" s="771" t="s">
        <v>444</v>
      </c>
    </row>
    <row r="41" spans="1:25">
      <c r="A41" s="837">
        <v>45971</v>
      </c>
      <c r="B41" s="838" t="s">
        <v>449</v>
      </c>
      <c r="C41" s="839" t="s">
        <v>444</v>
      </c>
    </row>
    <row r="42" spans="1:25" ht="45">
      <c r="A42" s="830">
        <v>45972</v>
      </c>
      <c r="B42" s="840" t="s">
        <v>450</v>
      </c>
      <c r="C42" s="771" t="s">
        <v>444</v>
      </c>
    </row>
    <row r="43" spans="1:25" ht="30">
      <c r="A43" s="827">
        <v>45973</v>
      </c>
      <c r="B43" s="828" t="s">
        <v>451</v>
      </c>
      <c r="C43" s="6" t="s">
        <v>234</v>
      </c>
    </row>
    <row r="44" spans="1:25" ht="45">
      <c r="A44" s="830">
        <v>45672</v>
      </c>
      <c r="B44" s="831" t="s">
        <v>452</v>
      </c>
      <c r="C44" s="771" t="s">
        <v>444</v>
      </c>
    </row>
    <row r="45" spans="1:25">
      <c r="A45" s="827">
        <v>45978</v>
      </c>
      <c r="B45" s="828" t="s">
        <v>453</v>
      </c>
      <c r="C45" s="6" t="s">
        <v>234</v>
      </c>
    </row>
    <row r="46" spans="1:25" ht="30">
      <c r="A46" s="827">
        <v>45980</v>
      </c>
      <c r="B46" s="828" t="s">
        <v>454</v>
      </c>
      <c r="C46" s="6" t="s">
        <v>234</v>
      </c>
    </row>
    <row r="47" spans="1:25">
      <c r="A47" s="827">
        <v>45993</v>
      </c>
      <c r="B47" s="828" t="s">
        <v>455</v>
      </c>
      <c r="C47" s="6" t="s">
        <v>234</v>
      </c>
    </row>
    <row r="48" spans="1:25">
      <c r="A48" s="827"/>
      <c r="B48" s="828"/>
      <c r="C48" s="6"/>
    </row>
    <row r="49" spans="1:3">
      <c r="A49" s="827"/>
      <c r="B49" s="828"/>
      <c r="C49" s="6"/>
    </row>
    <row r="50" spans="1:3">
      <c r="A50" s="827"/>
      <c r="B50" s="828"/>
      <c r="C50" s="6"/>
    </row>
    <row r="51" spans="1:3">
      <c r="A51" s="827"/>
      <c r="B51" s="828"/>
      <c r="C51" s="6"/>
    </row>
    <row r="52" spans="1:3">
      <c r="A52" s="827"/>
      <c r="B52" s="828"/>
      <c r="C52" s="6"/>
    </row>
    <row r="53" spans="1:3">
      <c r="A53" s="827"/>
      <c r="B53" s="828"/>
      <c r="C53" s="6"/>
    </row>
    <row r="54" spans="1:3">
      <c r="A54" s="827"/>
      <c r="B54" s="828"/>
      <c r="C54" s="6"/>
    </row>
    <row r="55" spans="1:3">
      <c r="A55" s="827"/>
      <c r="B55" s="828"/>
      <c r="C55" s="6"/>
    </row>
    <row r="56" spans="1:3">
      <c r="A56" s="827"/>
      <c r="B56" s="828"/>
      <c r="C56" s="6"/>
    </row>
    <row r="57" spans="1:3">
      <c r="A57" s="827"/>
      <c r="B57" s="828"/>
      <c r="C57" s="6"/>
    </row>
    <row r="58" spans="1:3">
      <c r="A58" s="827"/>
      <c r="B58" s="828"/>
      <c r="C58" s="6"/>
    </row>
    <row r="59" spans="1:3">
      <c r="A59" s="827"/>
      <c r="B59" s="828"/>
      <c r="C59" s="6"/>
    </row>
    <row r="60" spans="1:3">
      <c r="A60" s="827"/>
      <c r="B60" s="828"/>
      <c r="C60" s="6"/>
    </row>
    <row r="61" spans="1:3">
      <c r="A61" s="827"/>
      <c r="B61" s="828"/>
      <c r="C61" s="6"/>
    </row>
    <row r="62" spans="1:3">
      <c r="A62" s="827"/>
      <c r="B62" s="828"/>
      <c r="C62" s="6"/>
    </row>
    <row r="63" spans="1:3">
      <c r="A63" s="827"/>
      <c r="B63" s="828"/>
      <c r="C63" s="6"/>
    </row>
    <row r="64" spans="1:3">
      <c r="A64" s="827"/>
      <c r="B64" s="828"/>
      <c r="C64" s="6"/>
    </row>
    <row r="65" spans="1:3">
      <c r="A65" s="827"/>
      <c r="B65" s="828"/>
      <c r="C65" s="6"/>
    </row>
    <row r="66" spans="1:3">
      <c r="A66" s="827"/>
      <c r="B66" s="828"/>
      <c r="C66" s="6"/>
    </row>
    <row r="67" spans="1:3">
      <c r="A67" s="841"/>
    </row>
    <row r="68" spans="1:3">
      <c r="A68" s="841"/>
    </row>
    <row r="69" spans="1:3">
      <c r="A69" s="841"/>
    </row>
    <row r="70" spans="1:3">
      <c r="A70" s="841"/>
    </row>
    <row r="71" spans="1:3">
      <c r="A71" s="841"/>
    </row>
    <row r="72" spans="1:3">
      <c r="A72" s="841"/>
    </row>
    <row r="73" spans="1:3">
      <c r="A73" s="841"/>
    </row>
    <row r="74" spans="1:3">
      <c r="A74" s="841"/>
    </row>
    <row r="75" spans="1:3">
      <c r="A75" s="841"/>
    </row>
    <row r="76" spans="1:3">
      <c r="A76" s="841"/>
    </row>
    <row r="77" spans="1:3">
      <c r="A77" s="841"/>
    </row>
    <row r="78" spans="1:3">
      <c r="A78" s="841"/>
    </row>
  </sheetData>
  <mergeCells count="19">
    <mergeCell ref="AJ7:AL7"/>
    <mergeCell ref="G33:N33"/>
    <mergeCell ref="A35:A36"/>
    <mergeCell ref="C35:C36"/>
    <mergeCell ref="A38:A39"/>
    <mergeCell ref="C38:C39"/>
    <mergeCell ref="AA3:AB3"/>
    <mergeCell ref="H4:I4"/>
    <mergeCell ref="K4:L4"/>
    <mergeCell ref="AD7:AF7"/>
    <mergeCell ref="AG7:AI7"/>
    <mergeCell ref="A1:B1"/>
    <mergeCell ref="C1:X1"/>
    <mergeCell ref="A2:B2"/>
    <mergeCell ref="C2:X2"/>
    <mergeCell ref="A3:A4"/>
    <mergeCell ref="D3:L3"/>
    <mergeCell ref="M3:T3"/>
    <mergeCell ref="U3:X3"/>
  </mergeCells>
  <conditionalFormatting sqref="AB5:AB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0:Y30 X31:X33 Y31 Y33 Y32 Y34">
    <cfRule type="cellIs" dxfId="54" priority="15" operator="equal">
      <formula>"н/у"</formula>
    </cfRule>
  </conditionalFormatting>
  <conditionalFormatting sqref="X30:Y30">
    <cfRule type="cellIs" dxfId="53" priority="14" operator="equal">
      <formula>2</formula>
    </cfRule>
  </conditionalFormatting>
  <conditionalFormatting sqref="X30:Y30">
    <cfRule type="cellIs" dxfId="52" priority="13" operator="equal">
      <formula>"оп"</formula>
    </cfRule>
  </conditionalFormatting>
  <conditionalFormatting sqref="X30:Y30">
    <cfRule type="cellIs" dxfId="51" priority="12" operator="equal">
      <formula>"н"</formula>
    </cfRule>
  </conditionalFormatting>
  <conditionalFormatting sqref="V27:X27">
    <cfRule type="cellIs" dxfId="50" priority="11" operator="equal">
      <formula>"н/у"</formula>
    </cfRule>
  </conditionalFormatting>
  <conditionalFormatting sqref="V27:X27">
    <cfRule type="cellIs" dxfId="49" priority="10" operator="equal">
      <formula>"н"</formula>
    </cfRule>
  </conditionalFormatting>
  <conditionalFormatting sqref="V27:X27">
    <cfRule type="cellIs" dxfId="48" priority="9" operator="equal">
      <formula>"о"</formula>
    </cfRule>
  </conditionalFormatting>
  <conditionalFormatting sqref="V27:X27">
    <cfRule type="cellIs" dxfId="47" priority="8" operator="equal">
      <formula>2</formula>
    </cfRule>
  </conditionalFormatting>
  <conditionalFormatting sqref="C5:X24 C25:T25 V25:X25 C26:X28">
    <cfRule type="cellIs" dxfId="46" priority="5" operator="equal">
      <formula>2</formula>
    </cfRule>
  </conditionalFormatting>
  <conditionalFormatting sqref="C5:X24 C25:T25 V25:X25 C26:X28">
    <cfRule type="cellIs" dxfId="45" priority="4" operator="equal">
      <formula>"о"</formula>
    </cfRule>
  </conditionalFormatting>
  <conditionalFormatting sqref="C5:X24 C25:T25 V25:X25 C26:X28">
    <cfRule type="cellIs" dxfId="44" priority="3" operator="equal">
      <formula>"н"</formula>
    </cfRule>
  </conditionalFormatting>
  <conditionalFormatting sqref="C5:X24 C25:T25 V25:X25 C26:X28">
    <cfRule type="cellIs" dxfId="43" priority="2" operator="equal">
      <formula>"н/у"</formula>
    </cfRule>
  </conditionalFormatting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A66"/>
  <sheetViews>
    <sheetView zoomScale="85"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customWidth="1"/>
    <col min="2" max="2" width="34.44140625" customWidth="1"/>
    <col min="3" max="75" width="2.77734375" customWidth="1"/>
    <col min="76" max="76" width="6.77734375" customWidth="1"/>
    <col min="77" max="77" width="10.6640625" customWidth="1"/>
    <col min="78" max="79" width="8.109375" customWidth="1"/>
  </cols>
  <sheetData>
    <row r="1" spans="1:79" ht="27.75">
      <c r="A1" s="1277" t="s">
        <v>38</v>
      </c>
      <c r="B1" s="1277"/>
      <c r="C1" s="1276" t="s">
        <v>19</v>
      </c>
      <c r="D1" s="1276"/>
      <c r="E1" s="1276"/>
      <c r="F1" s="1276"/>
      <c r="G1" s="1276"/>
      <c r="H1" s="1276"/>
      <c r="I1" s="1276"/>
      <c r="J1" s="1276"/>
      <c r="K1" s="1276"/>
      <c r="L1" s="1276"/>
      <c r="M1" s="1276"/>
      <c r="N1" s="1276"/>
      <c r="O1" s="1276"/>
      <c r="P1" s="1276"/>
      <c r="Q1" s="1276"/>
      <c r="R1" s="1276"/>
      <c r="S1" s="1276"/>
      <c r="T1" s="1276"/>
      <c r="U1" s="1276"/>
      <c r="V1" s="1276"/>
      <c r="W1" s="1276"/>
      <c r="X1" s="1276"/>
      <c r="Y1" s="1276"/>
      <c r="Z1" s="1276"/>
      <c r="AA1" s="1276"/>
      <c r="AB1" s="1276"/>
      <c r="AC1" s="1276"/>
      <c r="AD1" s="1276"/>
      <c r="AE1" s="1276"/>
      <c r="AF1" s="1276"/>
      <c r="AG1" s="1276"/>
      <c r="AH1" s="1276"/>
      <c r="AI1" s="1276"/>
      <c r="AJ1" s="1276"/>
      <c r="AK1" s="1276"/>
      <c r="AL1" s="1276"/>
      <c r="AM1" s="1276"/>
      <c r="AN1" s="1276"/>
      <c r="AO1" s="1276"/>
      <c r="AP1" s="1276"/>
      <c r="AQ1" s="1276"/>
      <c r="AR1" s="1276"/>
      <c r="AS1" s="1276"/>
      <c r="AT1" s="1276"/>
      <c r="AU1" s="1276"/>
      <c r="AV1" s="1276"/>
      <c r="AW1" s="1276"/>
      <c r="AX1" s="1276"/>
      <c r="AY1" s="1276"/>
      <c r="AZ1" s="1276"/>
      <c r="BA1" s="1276"/>
      <c r="BB1" s="1276"/>
      <c r="BC1" s="1276"/>
      <c r="BD1" s="1276"/>
      <c r="BE1" s="1276"/>
      <c r="BF1" s="1276"/>
      <c r="BG1" s="1276"/>
      <c r="BH1" s="1276"/>
      <c r="BI1" s="1276"/>
      <c r="BJ1" s="1276"/>
      <c r="BK1" s="1276"/>
      <c r="BL1" s="1276"/>
      <c r="BM1" s="1276"/>
      <c r="BN1" s="1276"/>
      <c r="BO1" s="1276"/>
      <c r="BP1" s="1276"/>
      <c r="BQ1" s="1276"/>
      <c r="BR1" s="1276"/>
      <c r="BS1" s="1276"/>
      <c r="BT1" s="1276"/>
      <c r="BU1" s="1276"/>
      <c r="BV1" s="1276"/>
      <c r="BW1" s="1276"/>
      <c r="BX1" s="29"/>
    </row>
    <row r="2" spans="1:79" ht="27.75">
      <c r="A2" s="1277" t="s">
        <v>39</v>
      </c>
      <c r="B2" s="1277"/>
      <c r="C2" s="1277"/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1277"/>
      <c r="AD2" s="1277"/>
      <c r="AE2" s="1277"/>
      <c r="AF2" s="1277"/>
      <c r="AG2" s="1277"/>
      <c r="AH2" s="1277"/>
      <c r="AI2" s="1277"/>
      <c r="AJ2" s="1277"/>
      <c r="AK2" s="1277"/>
      <c r="AL2" s="1277"/>
      <c r="AM2" s="1277"/>
      <c r="AN2" s="1277"/>
      <c r="AO2" s="1277"/>
      <c r="AP2" s="1277"/>
      <c r="AQ2" s="1277"/>
      <c r="AR2" s="1277"/>
      <c r="AS2" s="1277"/>
      <c r="AT2" s="1277"/>
      <c r="AU2" s="1277"/>
      <c r="AV2" s="1277"/>
      <c r="AW2" s="1277"/>
      <c r="AX2" s="1277"/>
      <c r="AY2" s="1277"/>
      <c r="AZ2" s="1277"/>
      <c r="BA2" s="1277"/>
      <c r="BB2" s="1277"/>
      <c r="BC2" s="1277"/>
      <c r="BD2" s="1277"/>
      <c r="BE2" s="1277"/>
      <c r="BF2" s="1277"/>
      <c r="BG2" s="1277"/>
      <c r="BH2" s="1277"/>
      <c r="BI2" s="1277"/>
      <c r="BJ2" s="1277"/>
      <c r="BK2" s="1277"/>
      <c r="BL2" s="1277"/>
      <c r="BM2" s="1277"/>
      <c r="BN2" s="1277"/>
      <c r="BO2" s="1277"/>
      <c r="BP2" s="1277"/>
      <c r="BQ2" s="1277"/>
      <c r="BR2" s="1277"/>
      <c r="BS2" s="1277"/>
      <c r="BT2" s="1277"/>
      <c r="BU2" s="1277"/>
      <c r="BV2" s="1277"/>
      <c r="BW2" s="1277"/>
      <c r="BX2" s="31"/>
      <c r="BY2" s="32"/>
      <c r="BZ2" s="32"/>
      <c r="CA2" s="32"/>
    </row>
    <row r="3" spans="1:79" ht="15.75">
      <c r="A3" s="1281" t="s">
        <v>41</v>
      </c>
      <c r="B3" s="129" t="s">
        <v>42</v>
      </c>
      <c r="C3" s="1361" t="s">
        <v>150</v>
      </c>
      <c r="D3" s="1362"/>
      <c r="E3" s="1363"/>
      <c r="F3" s="1307" t="s">
        <v>151</v>
      </c>
      <c r="G3" s="1308"/>
      <c r="H3" s="1308"/>
      <c r="I3" s="1308"/>
      <c r="J3" s="1308"/>
      <c r="K3" s="1308"/>
      <c r="L3" s="1309"/>
      <c r="M3" s="1364" t="s">
        <v>456</v>
      </c>
      <c r="N3" s="1364"/>
      <c r="O3" s="1364"/>
      <c r="P3" s="1364"/>
      <c r="Q3" s="1364"/>
      <c r="R3" s="136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173" t="s">
        <v>207</v>
      </c>
      <c r="BY3" s="45"/>
      <c r="BZ3" s="1278" t="s">
        <v>0</v>
      </c>
      <c r="CA3" s="1279"/>
    </row>
    <row r="4" spans="1:79" ht="15.75">
      <c r="A4" s="1282"/>
      <c r="B4" s="132" t="s">
        <v>43</v>
      </c>
      <c r="C4" s="842">
        <v>14</v>
      </c>
      <c r="D4" s="843">
        <v>20</v>
      </c>
      <c r="E4" s="843">
        <v>28</v>
      </c>
      <c r="F4" s="843">
        <v>3</v>
      </c>
      <c r="G4" s="844">
        <v>5</v>
      </c>
      <c r="H4" s="843">
        <v>10</v>
      </c>
      <c r="I4" s="843">
        <v>11</v>
      </c>
      <c r="J4" s="843">
        <v>13</v>
      </c>
      <c r="K4" s="843">
        <v>18</v>
      </c>
      <c r="L4" s="843">
        <v>28</v>
      </c>
      <c r="M4" s="844">
        <v>2</v>
      </c>
      <c r="N4" s="58">
        <v>2</v>
      </c>
      <c r="O4" s="58">
        <v>3</v>
      </c>
      <c r="P4" s="58">
        <v>11</v>
      </c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186" t="s">
        <v>32</v>
      </c>
      <c r="BY4" s="45" t="s">
        <v>33</v>
      </c>
      <c r="BZ4" s="60" t="s">
        <v>5</v>
      </c>
      <c r="CA4" s="60" t="s">
        <v>6</v>
      </c>
    </row>
    <row r="5" spans="1:79" ht="16.5" customHeight="1">
      <c r="A5" s="136" t="s">
        <v>44</v>
      </c>
      <c r="B5" s="137" t="s">
        <v>45</v>
      </c>
      <c r="C5" s="74" t="s">
        <v>46</v>
      </c>
      <c r="D5" s="70"/>
      <c r="E5" s="70" t="s">
        <v>36</v>
      </c>
      <c r="F5" s="70" t="s">
        <v>46</v>
      </c>
      <c r="G5" s="371">
        <v>2</v>
      </c>
      <c r="H5" s="70"/>
      <c r="I5" s="70" t="s">
        <v>46</v>
      </c>
      <c r="J5" s="70"/>
      <c r="K5" s="70" t="s">
        <v>46</v>
      </c>
      <c r="L5" s="70" t="s">
        <v>37</v>
      </c>
      <c r="M5" s="371" t="s">
        <v>46</v>
      </c>
      <c r="N5" s="70" t="s">
        <v>46</v>
      </c>
      <c r="O5" s="70" t="s">
        <v>46</v>
      </c>
      <c r="P5" s="70" t="s">
        <v>46</v>
      </c>
      <c r="Q5" s="322"/>
      <c r="R5" s="322"/>
      <c r="S5" s="322"/>
      <c r="T5" s="322"/>
      <c r="U5" s="322"/>
      <c r="V5" s="322"/>
      <c r="W5" s="322"/>
      <c r="X5" s="322"/>
      <c r="Y5" s="322"/>
      <c r="Z5" s="322"/>
      <c r="AA5" s="322"/>
      <c r="AB5" s="322"/>
      <c r="AC5" s="322"/>
      <c r="AD5" s="322"/>
      <c r="AE5" s="322"/>
      <c r="AF5" s="322"/>
      <c r="AG5" s="322"/>
      <c r="AH5" s="322"/>
      <c r="AI5" s="322"/>
      <c r="AJ5" s="322"/>
      <c r="AK5" s="322"/>
      <c r="AL5" s="322"/>
      <c r="AM5" s="322"/>
      <c r="AN5" s="322"/>
      <c r="AO5" s="322"/>
      <c r="AP5" s="322"/>
      <c r="AQ5" s="322"/>
      <c r="AR5" s="322"/>
      <c r="AS5" s="322"/>
      <c r="AT5" s="322"/>
      <c r="AU5" s="322"/>
      <c r="AV5" s="322"/>
      <c r="AW5" s="322"/>
      <c r="AX5" s="322"/>
      <c r="AY5" s="322"/>
      <c r="AZ5" s="322"/>
      <c r="BA5" s="322"/>
      <c r="BB5" s="322"/>
      <c r="BC5" s="322"/>
      <c r="BD5" s="322"/>
      <c r="BE5" s="322"/>
      <c r="BF5" s="322"/>
      <c r="BG5" s="322"/>
      <c r="BH5" s="322"/>
      <c r="BI5" s="322"/>
      <c r="BJ5" s="322"/>
      <c r="BK5" s="322"/>
      <c r="BL5" s="322"/>
      <c r="BM5" s="322"/>
      <c r="BN5" s="322"/>
      <c r="BO5" s="322"/>
      <c r="BP5" s="322"/>
      <c r="BQ5" s="322"/>
      <c r="BR5" s="322"/>
      <c r="BS5" s="70"/>
      <c r="BT5" s="322"/>
      <c r="BU5" s="322"/>
      <c r="BV5" s="322"/>
      <c r="BW5" s="322"/>
      <c r="BX5" s="618"/>
      <c r="BY5" s="76">
        <f t="shared" ref="BY5:BY9" si="0">IFERROR(AVERAGE(C5:BX5),"Нет оценок")</f>
        <v>2</v>
      </c>
      <c r="BZ5" s="77">
        <f t="shared" ref="BZ5:BZ9" si="1">COUNTIF(C5:BW5,"н/у")</f>
        <v>0</v>
      </c>
      <c r="CA5" s="77">
        <f t="shared" ref="CA5:CA9" si="2">COUNTIF(C5:BX5,"н")</f>
        <v>8</v>
      </c>
    </row>
    <row r="6" spans="1:79" ht="16.5" customHeight="1">
      <c r="A6" s="139" t="s">
        <v>49</v>
      </c>
      <c r="B6" s="140" t="s">
        <v>50</v>
      </c>
      <c r="C6" s="108" t="s">
        <v>34</v>
      </c>
      <c r="D6" s="96" t="s">
        <v>46</v>
      </c>
      <c r="E6" s="96" t="s">
        <v>46</v>
      </c>
      <c r="F6" s="96">
        <v>2</v>
      </c>
      <c r="G6" s="370">
        <v>3</v>
      </c>
      <c r="H6" s="96"/>
      <c r="I6" s="96"/>
      <c r="J6" s="96" t="s">
        <v>46</v>
      </c>
      <c r="K6" s="96" t="s">
        <v>46</v>
      </c>
      <c r="L6" s="96" t="s">
        <v>46</v>
      </c>
      <c r="M6" s="370">
        <v>3</v>
      </c>
      <c r="N6" s="96"/>
      <c r="O6" s="96"/>
      <c r="P6" s="96">
        <v>5</v>
      </c>
      <c r="Q6" s="327"/>
      <c r="R6" s="327"/>
      <c r="S6" s="327"/>
      <c r="T6" s="327"/>
      <c r="U6" s="327"/>
      <c r="V6" s="327"/>
      <c r="W6" s="327"/>
      <c r="X6" s="327"/>
      <c r="Y6" s="327"/>
      <c r="Z6" s="327"/>
      <c r="AA6" s="327"/>
      <c r="AB6" s="327"/>
      <c r="AC6" s="327"/>
      <c r="AD6" s="327"/>
      <c r="AE6" s="327"/>
      <c r="AF6" s="327"/>
      <c r="AG6" s="327"/>
      <c r="AH6" s="327"/>
      <c r="AI6" s="327"/>
      <c r="AJ6" s="327"/>
      <c r="AK6" s="327"/>
      <c r="AL6" s="327"/>
      <c r="AM6" s="327"/>
      <c r="AN6" s="327"/>
      <c r="AO6" s="327"/>
      <c r="AP6" s="327"/>
      <c r="AQ6" s="327"/>
      <c r="AR6" s="327"/>
      <c r="AS6" s="327"/>
      <c r="AT6" s="327"/>
      <c r="AU6" s="327"/>
      <c r="AV6" s="327"/>
      <c r="AW6" s="327"/>
      <c r="AX6" s="327"/>
      <c r="AY6" s="327"/>
      <c r="AZ6" s="327"/>
      <c r="BA6" s="327"/>
      <c r="BB6" s="327"/>
      <c r="BC6" s="327"/>
      <c r="BD6" s="327"/>
      <c r="BE6" s="327"/>
      <c r="BF6" s="327"/>
      <c r="BG6" s="327"/>
      <c r="BH6" s="327"/>
      <c r="BI6" s="327"/>
      <c r="BJ6" s="327"/>
      <c r="BK6" s="327"/>
      <c r="BL6" s="327"/>
      <c r="BM6" s="327"/>
      <c r="BN6" s="327"/>
      <c r="BO6" s="327"/>
      <c r="BP6" s="327"/>
      <c r="BQ6" s="327"/>
      <c r="BR6" s="327"/>
      <c r="BS6" s="96"/>
      <c r="BT6" s="327"/>
      <c r="BU6" s="327"/>
      <c r="BV6" s="327"/>
      <c r="BW6" s="327"/>
      <c r="BX6" s="624"/>
      <c r="BY6" s="76">
        <f t="shared" si="0"/>
        <v>3.25</v>
      </c>
      <c r="BZ6" s="77">
        <f t="shared" si="1"/>
        <v>0</v>
      </c>
      <c r="CA6" s="77">
        <f t="shared" si="2"/>
        <v>5</v>
      </c>
    </row>
    <row r="7" spans="1:79" ht="16.5" customHeight="1">
      <c r="A7" s="204" t="s">
        <v>51</v>
      </c>
      <c r="B7" s="137" t="s">
        <v>52</v>
      </c>
      <c r="C7" s="74"/>
      <c r="D7" s="70" t="s">
        <v>37</v>
      </c>
      <c r="E7" s="70"/>
      <c r="F7" s="70">
        <v>5</v>
      </c>
      <c r="G7" s="371">
        <v>2</v>
      </c>
      <c r="H7" s="70"/>
      <c r="I7" s="70"/>
      <c r="J7" s="70"/>
      <c r="K7" s="70">
        <v>5</v>
      </c>
      <c r="L7" s="70" t="s">
        <v>37</v>
      </c>
      <c r="M7" s="371">
        <v>4</v>
      </c>
      <c r="N7" s="70"/>
      <c r="O7" s="70"/>
      <c r="P7" s="70">
        <v>4</v>
      </c>
      <c r="Q7" s="322"/>
      <c r="R7" s="322"/>
      <c r="S7" s="322"/>
      <c r="T7" s="322"/>
      <c r="U7" s="322"/>
      <c r="V7" s="322"/>
      <c r="W7" s="322"/>
      <c r="X7" s="322"/>
      <c r="Y7" s="322"/>
      <c r="Z7" s="322"/>
      <c r="AA7" s="322"/>
      <c r="AB7" s="322"/>
      <c r="AC7" s="322"/>
      <c r="AD7" s="322"/>
      <c r="AE7" s="322"/>
      <c r="AF7" s="322"/>
      <c r="AG7" s="322"/>
      <c r="AH7" s="322"/>
      <c r="AI7" s="322"/>
      <c r="AJ7" s="322"/>
      <c r="AK7" s="322"/>
      <c r="AL7" s="322"/>
      <c r="AM7" s="322"/>
      <c r="AN7" s="322"/>
      <c r="AO7" s="322"/>
      <c r="AP7" s="322"/>
      <c r="AQ7" s="322"/>
      <c r="AR7" s="322"/>
      <c r="AS7" s="322"/>
      <c r="AT7" s="322"/>
      <c r="AU7" s="322"/>
      <c r="AV7" s="322"/>
      <c r="AW7" s="322"/>
      <c r="AX7" s="322"/>
      <c r="AY7" s="322"/>
      <c r="AZ7" s="322"/>
      <c r="BA7" s="322"/>
      <c r="BB7" s="322"/>
      <c r="BC7" s="322"/>
      <c r="BD7" s="322"/>
      <c r="BE7" s="322"/>
      <c r="BF7" s="322"/>
      <c r="BG7" s="322"/>
      <c r="BH7" s="322"/>
      <c r="BI7" s="322"/>
      <c r="BJ7" s="322"/>
      <c r="BK7" s="322"/>
      <c r="BL7" s="322"/>
      <c r="BM7" s="322"/>
      <c r="BN7" s="322"/>
      <c r="BO7" s="322"/>
      <c r="BP7" s="322"/>
      <c r="BQ7" s="322"/>
      <c r="BR7" s="322"/>
      <c r="BS7" s="70"/>
      <c r="BT7" s="322"/>
      <c r="BU7" s="322"/>
      <c r="BV7" s="322"/>
      <c r="BW7" s="322"/>
      <c r="BX7" s="618"/>
      <c r="BY7" s="76">
        <f t="shared" si="0"/>
        <v>4</v>
      </c>
      <c r="BZ7" s="77">
        <f t="shared" si="1"/>
        <v>0</v>
      </c>
      <c r="CA7" s="77">
        <f t="shared" si="2"/>
        <v>0</v>
      </c>
    </row>
    <row r="8" spans="1:79" ht="16.5" customHeight="1">
      <c r="A8" s="144" t="s">
        <v>53</v>
      </c>
      <c r="B8" s="137" t="s">
        <v>54</v>
      </c>
      <c r="C8" s="74"/>
      <c r="D8" s="70"/>
      <c r="E8" s="70"/>
      <c r="F8" s="70">
        <v>4</v>
      </c>
      <c r="G8" s="371">
        <v>2</v>
      </c>
      <c r="H8" s="70"/>
      <c r="I8" s="70"/>
      <c r="J8" s="70" t="s">
        <v>46</v>
      </c>
      <c r="K8" s="70" t="s">
        <v>46</v>
      </c>
      <c r="L8" s="70" t="s">
        <v>37</v>
      </c>
      <c r="M8" s="371" t="s">
        <v>36</v>
      </c>
      <c r="N8" s="70"/>
      <c r="O8" s="70"/>
      <c r="P8" s="70">
        <v>4</v>
      </c>
      <c r="Q8" s="322"/>
      <c r="R8" s="322"/>
      <c r="S8" s="322"/>
      <c r="T8" s="322"/>
      <c r="U8" s="322"/>
      <c r="V8" s="322"/>
      <c r="W8" s="322"/>
      <c r="X8" s="322"/>
      <c r="Y8" s="322"/>
      <c r="Z8" s="322"/>
      <c r="AA8" s="322"/>
      <c r="AB8" s="322"/>
      <c r="AC8" s="322"/>
      <c r="AD8" s="322"/>
      <c r="AE8" s="322"/>
      <c r="AF8" s="322"/>
      <c r="AG8" s="322"/>
      <c r="AH8" s="322"/>
      <c r="AI8" s="322"/>
      <c r="AJ8" s="322"/>
      <c r="AK8" s="322"/>
      <c r="AL8" s="322"/>
      <c r="AM8" s="322"/>
      <c r="AN8" s="322"/>
      <c r="AO8" s="322"/>
      <c r="AP8" s="322"/>
      <c r="AQ8" s="322"/>
      <c r="AR8" s="322"/>
      <c r="AS8" s="322"/>
      <c r="AT8" s="322"/>
      <c r="AU8" s="322"/>
      <c r="AV8" s="322"/>
      <c r="AW8" s="322"/>
      <c r="AX8" s="322"/>
      <c r="AY8" s="322"/>
      <c r="AZ8" s="322"/>
      <c r="BA8" s="322"/>
      <c r="BB8" s="322"/>
      <c r="BC8" s="322"/>
      <c r="BD8" s="322"/>
      <c r="BE8" s="322"/>
      <c r="BF8" s="322"/>
      <c r="BG8" s="322"/>
      <c r="BH8" s="322"/>
      <c r="BI8" s="322"/>
      <c r="BJ8" s="322"/>
      <c r="BK8" s="322"/>
      <c r="BL8" s="322"/>
      <c r="BM8" s="322"/>
      <c r="BN8" s="322"/>
      <c r="BO8" s="322"/>
      <c r="BP8" s="322"/>
      <c r="BQ8" s="322"/>
      <c r="BR8" s="322"/>
      <c r="BS8" s="70"/>
      <c r="BT8" s="322"/>
      <c r="BU8" s="322"/>
      <c r="BV8" s="322"/>
      <c r="BW8" s="322"/>
      <c r="BX8" s="618"/>
      <c r="BY8" s="76">
        <f t="shared" si="0"/>
        <v>3.3333333333333335</v>
      </c>
      <c r="BZ8" s="77">
        <f t="shared" si="1"/>
        <v>0</v>
      </c>
      <c r="CA8" s="77">
        <f t="shared" si="2"/>
        <v>2</v>
      </c>
    </row>
    <row r="9" spans="1:79" ht="16.5" customHeight="1">
      <c r="A9" s="146" t="s">
        <v>55</v>
      </c>
      <c r="B9" s="147" t="s">
        <v>56</v>
      </c>
      <c r="C9" s="105" t="s">
        <v>34</v>
      </c>
      <c r="D9" s="119" t="s">
        <v>37</v>
      </c>
      <c r="E9" s="119"/>
      <c r="F9" s="119">
        <v>2</v>
      </c>
      <c r="G9" s="845">
        <v>2</v>
      </c>
      <c r="H9" s="119"/>
      <c r="I9" s="119" t="s">
        <v>46</v>
      </c>
      <c r="J9" s="119"/>
      <c r="K9" s="119" t="s">
        <v>46</v>
      </c>
      <c r="L9" s="119" t="s">
        <v>37</v>
      </c>
      <c r="M9" s="845">
        <v>4</v>
      </c>
      <c r="N9" s="119"/>
      <c r="O9" s="119" t="s">
        <v>36</v>
      </c>
      <c r="P9" s="119" t="s">
        <v>351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642"/>
      <c r="BY9" s="76">
        <f t="shared" si="0"/>
        <v>2.6666666666666665</v>
      </c>
      <c r="BZ9" s="77">
        <f t="shared" si="1"/>
        <v>0</v>
      </c>
      <c r="CA9" s="77">
        <f t="shared" si="2"/>
        <v>2</v>
      </c>
    </row>
    <row r="10" spans="1:79" ht="16.5" customHeight="1">
      <c r="A10" s="149" t="s">
        <v>57</v>
      </c>
      <c r="B10" s="150" t="s">
        <v>58</v>
      </c>
      <c r="C10" s="108"/>
      <c r="D10" s="96" t="s">
        <v>37</v>
      </c>
      <c r="E10" s="96"/>
      <c r="F10" s="96">
        <v>5</v>
      </c>
      <c r="G10" s="370">
        <v>2</v>
      </c>
      <c r="H10" s="96"/>
      <c r="I10" s="96"/>
      <c r="J10" s="96">
        <v>5</v>
      </c>
      <c r="K10" s="96">
        <v>5</v>
      </c>
      <c r="L10" s="96" t="s">
        <v>37</v>
      </c>
      <c r="M10" s="370">
        <v>4</v>
      </c>
      <c r="N10" s="96"/>
      <c r="O10" s="96" t="s">
        <v>36</v>
      </c>
      <c r="P10" s="96">
        <v>5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643"/>
      <c r="BY10" s="76">
        <f t="shared" ref="BY10:BY28" si="3">IFERROR(AVERAGE(C10:BX10),"Нет оценок")</f>
        <v>4.333333333333333</v>
      </c>
      <c r="BZ10" s="77">
        <f t="shared" ref="BZ10:BZ28" si="4">COUNTIF(C10:BW10,"н/у")</f>
        <v>0</v>
      </c>
      <c r="CA10" s="77">
        <f t="shared" ref="CA10:CA28" si="5">COUNTIF(C10:BX10,"н")</f>
        <v>0</v>
      </c>
    </row>
    <row r="11" spans="1:79" ht="16.5" customHeight="1">
      <c r="A11" s="144" t="s">
        <v>59</v>
      </c>
      <c r="B11" s="137" t="s">
        <v>60</v>
      </c>
      <c r="C11" s="74"/>
      <c r="D11" s="70" t="s">
        <v>36</v>
      </c>
      <c r="E11" s="70" t="s">
        <v>46</v>
      </c>
      <c r="F11" s="70">
        <v>5</v>
      </c>
      <c r="G11" s="371">
        <v>2</v>
      </c>
      <c r="H11" s="70"/>
      <c r="I11" s="70"/>
      <c r="J11" s="70"/>
      <c r="K11" s="70">
        <v>5</v>
      </c>
      <c r="L11" s="70" t="s">
        <v>37</v>
      </c>
      <c r="M11" s="371">
        <v>3</v>
      </c>
      <c r="N11" s="70"/>
      <c r="O11" s="70"/>
      <c r="P11" s="70">
        <v>4</v>
      </c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645"/>
      <c r="BY11" s="76">
        <f t="shared" si="3"/>
        <v>3.8</v>
      </c>
      <c r="BZ11" s="77">
        <f t="shared" si="4"/>
        <v>0</v>
      </c>
      <c r="CA11" s="77">
        <f t="shared" si="5"/>
        <v>1</v>
      </c>
    </row>
    <row r="12" spans="1:79" ht="16.5" customHeight="1">
      <c r="A12" s="144" t="s">
        <v>61</v>
      </c>
      <c r="B12" s="137" t="s">
        <v>62</v>
      </c>
      <c r="C12" s="74" t="s">
        <v>34</v>
      </c>
      <c r="D12" s="70" t="s">
        <v>46</v>
      </c>
      <c r="E12" s="70"/>
      <c r="F12" s="70">
        <v>2</v>
      </c>
      <c r="G12" s="371">
        <v>2</v>
      </c>
      <c r="H12" s="70"/>
      <c r="I12" s="70"/>
      <c r="J12" s="70"/>
      <c r="K12" s="70" t="s">
        <v>46</v>
      </c>
      <c r="L12" s="70" t="s">
        <v>37</v>
      </c>
      <c r="M12" s="371">
        <v>3</v>
      </c>
      <c r="N12" s="70"/>
      <c r="O12" s="70"/>
      <c r="P12" s="70" t="s">
        <v>351</v>
      </c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645"/>
      <c r="BY12" s="76">
        <f t="shared" si="3"/>
        <v>2.3333333333333335</v>
      </c>
      <c r="BZ12" s="77">
        <f t="shared" si="4"/>
        <v>0</v>
      </c>
      <c r="CA12" s="77">
        <f t="shared" si="5"/>
        <v>2</v>
      </c>
    </row>
    <row r="13" spans="1:79" ht="16.5" customHeight="1">
      <c r="A13" s="144" t="s">
        <v>63</v>
      </c>
      <c r="B13" s="150" t="s">
        <v>64</v>
      </c>
      <c r="C13" s="108">
        <v>5</v>
      </c>
      <c r="D13" s="96" t="s">
        <v>46</v>
      </c>
      <c r="E13" s="96" t="s">
        <v>36</v>
      </c>
      <c r="F13" s="96" t="s">
        <v>46</v>
      </c>
      <c r="G13" s="370" t="s">
        <v>46</v>
      </c>
      <c r="H13" s="96" t="s">
        <v>46</v>
      </c>
      <c r="I13" s="96" t="s">
        <v>46</v>
      </c>
      <c r="J13" s="96" t="s">
        <v>46</v>
      </c>
      <c r="K13" s="238" t="s">
        <v>46</v>
      </c>
      <c r="L13" s="96" t="s">
        <v>46</v>
      </c>
      <c r="M13" s="370">
        <v>2</v>
      </c>
      <c r="N13" s="96"/>
      <c r="O13" s="96" t="s">
        <v>46</v>
      </c>
      <c r="P13" s="96">
        <v>3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643"/>
      <c r="BY13" s="76">
        <f t="shared" si="3"/>
        <v>3.3333333333333335</v>
      </c>
      <c r="BZ13" s="77">
        <f t="shared" si="4"/>
        <v>0</v>
      </c>
      <c r="CA13" s="77">
        <f t="shared" si="5"/>
        <v>9</v>
      </c>
    </row>
    <row r="14" spans="1:79" ht="16.5" customHeight="1">
      <c r="A14" s="146" t="s">
        <v>65</v>
      </c>
      <c r="B14" s="151" t="s">
        <v>66</v>
      </c>
      <c r="C14" s="101" t="s">
        <v>46</v>
      </c>
      <c r="D14" s="103"/>
      <c r="E14" s="103" t="s">
        <v>36</v>
      </c>
      <c r="F14" s="103">
        <v>2</v>
      </c>
      <c r="G14" s="846">
        <v>2</v>
      </c>
      <c r="H14" s="103"/>
      <c r="I14" s="103" t="s">
        <v>36</v>
      </c>
      <c r="J14" s="103"/>
      <c r="K14" s="103" t="s">
        <v>46</v>
      </c>
      <c r="L14" s="103" t="s">
        <v>37</v>
      </c>
      <c r="M14" s="846">
        <v>2</v>
      </c>
      <c r="N14" s="103"/>
      <c r="O14" s="103"/>
      <c r="P14" s="103" t="s">
        <v>351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654"/>
      <c r="BY14" s="76">
        <f t="shared" si="3"/>
        <v>2</v>
      </c>
      <c r="BZ14" s="77">
        <f t="shared" si="4"/>
        <v>0</v>
      </c>
      <c r="CA14" s="77">
        <f t="shared" si="5"/>
        <v>2</v>
      </c>
    </row>
    <row r="15" spans="1:79" ht="16.5" customHeight="1">
      <c r="A15" s="149" t="s">
        <v>67</v>
      </c>
      <c r="B15" s="150" t="s">
        <v>68</v>
      </c>
      <c r="C15" s="108"/>
      <c r="D15" s="96"/>
      <c r="E15" s="96"/>
      <c r="F15" s="96">
        <v>2</v>
      </c>
      <c r="G15" s="370">
        <v>2</v>
      </c>
      <c r="H15" s="96"/>
      <c r="I15" s="96"/>
      <c r="J15" s="96"/>
      <c r="K15" s="96">
        <v>4</v>
      </c>
      <c r="L15" s="96" t="s">
        <v>37</v>
      </c>
      <c r="M15" s="370">
        <v>2</v>
      </c>
      <c r="N15" s="96"/>
      <c r="O15" s="96"/>
      <c r="P15" s="96">
        <v>5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643"/>
      <c r="BY15" s="76">
        <f t="shared" si="3"/>
        <v>3</v>
      </c>
      <c r="BZ15" s="77">
        <f t="shared" si="4"/>
        <v>0</v>
      </c>
      <c r="CA15" s="77">
        <f t="shared" si="5"/>
        <v>0</v>
      </c>
    </row>
    <row r="16" spans="1:79" ht="16.5" customHeight="1">
      <c r="A16" s="144" t="s">
        <v>69</v>
      </c>
      <c r="B16" s="137" t="s">
        <v>70</v>
      </c>
      <c r="C16" s="74"/>
      <c r="D16" s="70" t="s">
        <v>46</v>
      </c>
      <c r="E16" s="70"/>
      <c r="F16" s="70">
        <v>2</v>
      </c>
      <c r="G16" s="371">
        <v>3</v>
      </c>
      <c r="H16" s="70"/>
      <c r="I16" s="70"/>
      <c r="J16" s="70"/>
      <c r="K16" s="70">
        <v>5</v>
      </c>
      <c r="L16" s="70" t="s">
        <v>37</v>
      </c>
      <c r="M16" s="371">
        <v>3</v>
      </c>
      <c r="N16" s="70"/>
      <c r="O16" s="70"/>
      <c r="P16" s="70">
        <v>4</v>
      </c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645"/>
      <c r="BY16" s="76">
        <f t="shared" si="3"/>
        <v>3.4</v>
      </c>
      <c r="BZ16" s="77">
        <f t="shared" si="4"/>
        <v>0</v>
      </c>
      <c r="CA16" s="77">
        <f t="shared" si="5"/>
        <v>1</v>
      </c>
    </row>
    <row r="17" spans="1:79" ht="16.5" customHeight="1">
      <c r="A17" s="144" t="s">
        <v>71</v>
      </c>
      <c r="B17" s="137" t="s">
        <v>72</v>
      </c>
      <c r="C17" s="74" t="s">
        <v>34</v>
      </c>
      <c r="D17" s="70"/>
      <c r="E17" s="70" t="s">
        <v>46</v>
      </c>
      <c r="F17" s="70">
        <v>2</v>
      </c>
      <c r="G17" s="371">
        <v>3</v>
      </c>
      <c r="H17" s="70"/>
      <c r="I17" s="70">
        <v>3</v>
      </c>
      <c r="J17" s="70"/>
      <c r="K17" s="70" t="s">
        <v>46</v>
      </c>
      <c r="L17" s="70" t="s">
        <v>37</v>
      </c>
      <c r="M17" s="371">
        <v>5</v>
      </c>
      <c r="N17" s="70"/>
      <c r="O17" s="70" t="s">
        <v>46</v>
      </c>
      <c r="P17" s="70" t="s">
        <v>46</v>
      </c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645"/>
      <c r="BY17" s="76">
        <f t="shared" si="3"/>
        <v>3.25</v>
      </c>
      <c r="BZ17" s="77">
        <f t="shared" si="4"/>
        <v>0</v>
      </c>
      <c r="CA17" s="77">
        <f t="shared" si="5"/>
        <v>4</v>
      </c>
    </row>
    <row r="18" spans="1:79" ht="16.5" customHeight="1">
      <c r="A18" s="144" t="s">
        <v>73</v>
      </c>
      <c r="B18" s="150" t="s">
        <v>74</v>
      </c>
      <c r="C18" s="108"/>
      <c r="D18" s="96" t="s">
        <v>36</v>
      </c>
      <c r="E18" s="96"/>
      <c r="F18" s="96" t="s">
        <v>46</v>
      </c>
      <c r="G18" s="370">
        <v>2</v>
      </c>
      <c r="H18" s="96"/>
      <c r="I18" s="96"/>
      <c r="J18" s="96"/>
      <c r="K18" s="96" t="s">
        <v>46</v>
      </c>
      <c r="L18" s="96" t="s">
        <v>46</v>
      </c>
      <c r="M18" s="370">
        <v>2</v>
      </c>
      <c r="N18" s="96"/>
      <c r="O18" s="96" t="s">
        <v>46</v>
      </c>
      <c r="P18" s="96" t="s">
        <v>351</v>
      </c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643"/>
      <c r="BY18" s="76">
        <f t="shared" si="3"/>
        <v>2</v>
      </c>
      <c r="BZ18" s="77">
        <f t="shared" si="4"/>
        <v>0</v>
      </c>
      <c r="CA18" s="77">
        <f t="shared" si="5"/>
        <v>4</v>
      </c>
    </row>
    <row r="19" spans="1:79" ht="16.5" customHeight="1">
      <c r="A19" s="146" t="s">
        <v>75</v>
      </c>
      <c r="B19" s="151" t="s">
        <v>76</v>
      </c>
      <c r="C19" s="101"/>
      <c r="D19" s="103" t="s">
        <v>34</v>
      </c>
      <c r="E19" s="103"/>
      <c r="F19" s="103">
        <v>4</v>
      </c>
      <c r="G19" s="846">
        <v>3</v>
      </c>
      <c r="H19" s="103" t="s">
        <v>46</v>
      </c>
      <c r="I19" s="103"/>
      <c r="J19" s="103"/>
      <c r="K19" s="103">
        <v>5</v>
      </c>
      <c r="L19" s="103" t="s">
        <v>37</v>
      </c>
      <c r="M19" s="846">
        <v>2</v>
      </c>
      <c r="N19" s="103" t="s">
        <v>46</v>
      </c>
      <c r="O19" s="103" t="s">
        <v>36</v>
      </c>
      <c r="P19" s="103">
        <v>4</v>
      </c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654"/>
      <c r="BY19" s="76">
        <f t="shared" si="3"/>
        <v>3.6</v>
      </c>
      <c r="BZ19" s="77">
        <f t="shared" si="4"/>
        <v>0</v>
      </c>
      <c r="CA19" s="77">
        <f t="shared" si="5"/>
        <v>2</v>
      </c>
    </row>
    <row r="20" spans="1:79" ht="16.5" customHeight="1">
      <c r="A20" s="149" t="s">
        <v>77</v>
      </c>
      <c r="B20" s="150" t="s">
        <v>78</v>
      </c>
      <c r="C20" s="108" t="s">
        <v>46</v>
      </c>
      <c r="D20" s="96" t="s">
        <v>46</v>
      </c>
      <c r="E20" s="96"/>
      <c r="F20" s="96">
        <v>4</v>
      </c>
      <c r="G20" s="370" t="s">
        <v>46</v>
      </c>
      <c r="H20" s="96"/>
      <c r="I20" s="96"/>
      <c r="J20" s="96"/>
      <c r="K20" s="96">
        <v>4</v>
      </c>
      <c r="L20" s="96" t="s">
        <v>46</v>
      </c>
      <c r="M20" s="370">
        <v>2</v>
      </c>
      <c r="N20" s="96"/>
      <c r="O20" s="96"/>
      <c r="P20" s="96">
        <v>4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643"/>
      <c r="BY20" s="76">
        <f t="shared" si="3"/>
        <v>3.5</v>
      </c>
      <c r="BZ20" s="77">
        <f t="shared" si="4"/>
        <v>0</v>
      </c>
      <c r="CA20" s="77">
        <f t="shared" si="5"/>
        <v>4</v>
      </c>
    </row>
    <row r="21" spans="1:79" ht="16.5" customHeight="1">
      <c r="A21" s="144" t="s">
        <v>79</v>
      </c>
      <c r="B21" s="137" t="s">
        <v>80</v>
      </c>
      <c r="C21" s="74" t="s">
        <v>46</v>
      </c>
      <c r="D21" s="70" t="s">
        <v>46</v>
      </c>
      <c r="E21" s="70"/>
      <c r="F21" s="70">
        <v>2</v>
      </c>
      <c r="G21" s="371">
        <v>2</v>
      </c>
      <c r="H21" s="70" t="s">
        <v>46</v>
      </c>
      <c r="I21" s="70">
        <v>3</v>
      </c>
      <c r="J21" s="70"/>
      <c r="K21" s="70" t="s">
        <v>46</v>
      </c>
      <c r="L21" s="70" t="s">
        <v>37</v>
      </c>
      <c r="M21" s="371">
        <v>2</v>
      </c>
      <c r="N21" s="70"/>
      <c r="O21" s="70" t="s">
        <v>46</v>
      </c>
      <c r="P21" s="70">
        <v>4</v>
      </c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645"/>
      <c r="BY21" s="76">
        <f t="shared" si="3"/>
        <v>2.6</v>
      </c>
      <c r="BZ21" s="77">
        <f t="shared" si="4"/>
        <v>0</v>
      </c>
      <c r="CA21" s="77">
        <f t="shared" si="5"/>
        <v>5</v>
      </c>
    </row>
    <row r="22" spans="1:79" ht="16.5" customHeight="1">
      <c r="A22" s="144" t="s">
        <v>81</v>
      </c>
      <c r="B22" s="137" t="s">
        <v>82</v>
      </c>
      <c r="C22" s="74"/>
      <c r="D22" s="70"/>
      <c r="E22" s="70"/>
      <c r="F22" s="70">
        <v>4</v>
      </c>
      <c r="G22" s="371">
        <v>3</v>
      </c>
      <c r="H22" s="70"/>
      <c r="I22" s="70"/>
      <c r="J22" s="70" t="s">
        <v>46</v>
      </c>
      <c r="K22" s="70">
        <v>5</v>
      </c>
      <c r="L22" s="70" t="s">
        <v>37</v>
      </c>
      <c r="M22" s="371">
        <v>4</v>
      </c>
      <c r="N22" s="70"/>
      <c r="O22" s="70"/>
      <c r="P22" s="70">
        <v>5</v>
      </c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645"/>
      <c r="BY22" s="76">
        <f t="shared" si="3"/>
        <v>4.2</v>
      </c>
      <c r="BZ22" s="77">
        <f t="shared" si="4"/>
        <v>0</v>
      </c>
      <c r="CA22" s="77">
        <f t="shared" si="5"/>
        <v>1</v>
      </c>
    </row>
    <row r="23" spans="1:79" ht="16.5" customHeight="1">
      <c r="A23" s="144" t="s">
        <v>83</v>
      </c>
      <c r="B23" s="150" t="s">
        <v>84</v>
      </c>
      <c r="C23" s="108" t="s">
        <v>46</v>
      </c>
      <c r="D23" s="96" t="s">
        <v>46</v>
      </c>
      <c r="E23" s="96"/>
      <c r="F23" s="96">
        <v>2</v>
      </c>
      <c r="G23" s="370">
        <v>4</v>
      </c>
      <c r="H23" s="96" t="s">
        <v>46</v>
      </c>
      <c r="I23" s="96" t="s">
        <v>36</v>
      </c>
      <c r="J23" s="96" t="s">
        <v>46</v>
      </c>
      <c r="K23" s="96" t="s">
        <v>46</v>
      </c>
      <c r="L23" s="96" t="s">
        <v>46</v>
      </c>
      <c r="M23" s="370" t="s">
        <v>46</v>
      </c>
      <c r="N23" s="96" t="s">
        <v>46</v>
      </c>
      <c r="O23" s="96" t="s">
        <v>36</v>
      </c>
      <c r="P23" s="96" t="s">
        <v>46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643"/>
      <c r="BY23" s="76">
        <f t="shared" si="3"/>
        <v>3</v>
      </c>
      <c r="BZ23" s="77">
        <f t="shared" si="4"/>
        <v>0</v>
      </c>
      <c r="CA23" s="77">
        <f t="shared" si="5"/>
        <v>9</v>
      </c>
    </row>
    <row r="24" spans="1:79" ht="16.5" customHeight="1">
      <c r="A24" s="154" t="s">
        <v>27</v>
      </c>
      <c r="B24" s="151" t="s">
        <v>85</v>
      </c>
      <c r="C24" s="101"/>
      <c r="D24" s="103" t="s">
        <v>37</v>
      </c>
      <c r="E24" s="103"/>
      <c r="F24" s="103">
        <v>4</v>
      </c>
      <c r="G24" s="846">
        <v>2</v>
      </c>
      <c r="H24" s="103"/>
      <c r="I24" s="103"/>
      <c r="J24" s="103"/>
      <c r="K24" s="103" t="s">
        <v>34</v>
      </c>
      <c r="L24" s="103" t="s">
        <v>37</v>
      </c>
      <c r="M24" s="846">
        <v>3</v>
      </c>
      <c r="N24" s="103"/>
      <c r="O24" s="103"/>
      <c r="P24" s="103">
        <v>4</v>
      </c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654"/>
      <c r="BY24" s="76">
        <f t="shared" si="3"/>
        <v>3.25</v>
      </c>
      <c r="BZ24" s="77">
        <f t="shared" si="4"/>
        <v>0</v>
      </c>
      <c r="CA24" s="77">
        <f t="shared" si="5"/>
        <v>0</v>
      </c>
    </row>
    <row r="25" spans="1:79" ht="16.5" customHeight="1">
      <c r="A25" s="156" t="s">
        <v>86</v>
      </c>
      <c r="B25" s="150" t="s">
        <v>87</v>
      </c>
      <c r="C25" s="108" t="s">
        <v>46</v>
      </c>
      <c r="D25" s="96" t="s">
        <v>46</v>
      </c>
      <c r="E25" s="96" t="s">
        <v>46</v>
      </c>
      <c r="F25" s="96" t="s">
        <v>46</v>
      </c>
      <c r="G25" s="370" t="s">
        <v>46</v>
      </c>
      <c r="H25" s="96"/>
      <c r="I25" s="96"/>
      <c r="J25" s="96" t="s">
        <v>46</v>
      </c>
      <c r="K25" s="96" t="s">
        <v>46</v>
      </c>
      <c r="L25" s="96" t="s">
        <v>36</v>
      </c>
      <c r="M25" s="370" t="s">
        <v>46</v>
      </c>
      <c r="N25" s="96" t="s">
        <v>46</v>
      </c>
      <c r="O25" s="96"/>
      <c r="P25" s="96" t="s">
        <v>351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643"/>
      <c r="BY25" s="76" t="str">
        <f t="shared" si="3"/>
        <v>Нет оценок</v>
      </c>
      <c r="BZ25" s="77">
        <f t="shared" si="4"/>
        <v>0</v>
      </c>
      <c r="CA25" s="77">
        <f t="shared" si="5"/>
        <v>9</v>
      </c>
    </row>
    <row r="26" spans="1:79" s="847" customFormat="1" ht="16.5" hidden="1" customHeight="1">
      <c r="A26" s="139" t="s">
        <v>86</v>
      </c>
      <c r="B26" s="159" t="s">
        <v>88</v>
      </c>
      <c r="C26" s="160"/>
      <c r="D26" s="161"/>
      <c r="E26" s="161"/>
      <c r="F26" s="161"/>
      <c r="G26" s="848"/>
      <c r="H26" s="161"/>
      <c r="I26" s="161"/>
      <c r="J26" s="161"/>
      <c r="K26" s="161"/>
      <c r="L26" s="161"/>
      <c r="M26" s="848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61"/>
      <c r="BK26" s="161"/>
      <c r="BL26" s="161"/>
      <c r="BM26" s="161"/>
      <c r="BN26" s="161"/>
      <c r="BO26" s="161"/>
      <c r="BP26" s="161"/>
      <c r="BQ26" s="161"/>
      <c r="BR26" s="161"/>
      <c r="BS26" s="161"/>
      <c r="BT26" s="161"/>
      <c r="BU26" s="161"/>
      <c r="BV26" s="161"/>
      <c r="BW26" s="161"/>
      <c r="BX26" s="849"/>
      <c r="BY26" s="850" t="str">
        <f t="shared" si="3"/>
        <v>Нет оценок</v>
      </c>
      <c r="BZ26" s="851">
        <f t="shared" si="4"/>
        <v>0</v>
      </c>
      <c r="CA26" s="851">
        <f t="shared" si="5"/>
        <v>0</v>
      </c>
    </row>
    <row r="27" spans="1:79" ht="16.5" customHeight="1">
      <c r="A27" s="139" t="s">
        <v>89</v>
      </c>
      <c r="B27" s="137" t="s">
        <v>90</v>
      </c>
      <c r="C27" s="95"/>
      <c r="D27" s="73"/>
      <c r="E27" s="73"/>
      <c r="F27" s="73" t="s">
        <v>46</v>
      </c>
      <c r="G27" s="852">
        <v>2</v>
      </c>
      <c r="H27" s="73"/>
      <c r="I27" s="73"/>
      <c r="J27" s="73"/>
      <c r="K27" s="73" t="s">
        <v>46</v>
      </c>
      <c r="L27" s="73" t="s">
        <v>37</v>
      </c>
      <c r="M27" s="852">
        <v>2</v>
      </c>
      <c r="N27" s="73"/>
      <c r="O27" s="73"/>
      <c r="P27" s="73" t="s">
        <v>351</v>
      </c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661"/>
      <c r="BY27" s="76">
        <f t="shared" si="3"/>
        <v>2</v>
      </c>
      <c r="BZ27" s="77">
        <f t="shared" si="4"/>
        <v>0</v>
      </c>
      <c r="CA27" s="77">
        <f t="shared" si="5"/>
        <v>2</v>
      </c>
    </row>
    <row r="28" spans="1:79" ht="16.5" customHeight="1">
      <c r="A28" s="139" t="s">
        <v>91</v>
      </c>
      <c r="B28" s="137" t="s">
        <v>92</v>
      </c>
      <c r="C28" s="74" t="s">
        <v>46</v>
      </c>
      <c r="D28" s="70" t="s">
        <v>37</v>
      </c>
      <c r="E28" s="70"/>
      <c r="F28" s="70" t="s">
        <v>46</v>
      </c>
      <c r="G28" s="371">
        <v>4</v>
      </c>
      <c r="H28" s="70" t="s">
        <v>46</v>
      </c>
      <c r="I28" s="70"/>
      <c r="J28" s="70"/>
      <c r="K28" s="70" t="s">
        <v>46</v>
      </c>
      <c r="L28" s="70" t="s">
        <v>46</v>
      </c>
      <c r="M28" s="371" t="s">
        <v>46</v>
      </c>
      <c r="N28" s="70" t="s">
        <v>46</v>
      </c>
      <c r="O28" s="70" t="s">
        <v>36</v>
      </c>
      <c r="P28" s="70">
        <v>4</v>
      </c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645"/>
      <c r="BY28" s="76">
        <f t="shared" si="3"/>
        <v>4</v>
      </c>
      <c r="BZ28" s="77">
        <f t="shared" si="4"/>
        <v>0</v>
      </c>
      <c r="CA28" s="77">
        <f t="shared" si="5"/>
        <v>7</v>
      </c>
    </row>
    <row r="29" spans="1:79" ht="15.75">
      <c r="A29" s="165" t="s">
        <v>93</v>
      </c>
      <c r="B29" s="165" t="s">
        <v>94</v>
      </c>
      <c r="BY29" s="127">
        <f>IFERROR(AVERAGE(BY5:BY28),"")</f>
        <v>3.1295454545454544</v>
      </c>
      <c r="BZ29" s="128">
        <f>SUM(BZ5:BZ28)</f>
        <v>0</v>
      </c>
      <c r="CA29" s="128">
        <f>SUM(CA5:CA28)</f>
        <v>79</v>
      </c>
    </row>
    <row r="30" spans="1:79" ht="15.75">
      <c r="A30" s="458" t="s">
        <v>457</v>
      </c>
      <c r="B30" s="853" t="s">
        <v>458</v>
      </c>
    </row>
    <row r="31" spans="1:79" ht="15.75">
      <c r="A31" s="458" t="s">
        <v>268</v>
      </c>
      <c r="B31" s="853" t="s">
        <v>459</v>
      </c>
    </row>
    <row r="32" spans="1:79" ht="15.75">
      <c r="A32" s="137" t="s">
        <v>460</v>
      </c>
      <c r="B32" s="137" t="s">
        <v>461</v>
      </c>
    </row>
    <row r="33" spans="1:2" ht="15.75">
      <c r="A33" s="137" t="s">
        <v>279</v>
      </c>
      <c r="B33" s="137" t="s">
        <v>462</v>
      </c>
    </row>
    <row r="34" spans="1:2" ht="15.75">
      <c r="A34" s="137" t="s">
        <v>463</v>
      </c>
      <c r="B34" s="853" t="s">
        <v>464</v>
      </c>
    </row>
    <row r="35" spans="1:2" ht="15.75">
      <c r="A35" s="137" t="s">
        <v>465</v>
      </c>
      <c r="B35" s="854" t="s">
        <v>466</v>
      </c>
    </row>
    <row r="36" spans="1:2" ht="15.75">
      <c r="A36" s="853" t="s">
        <v>467</v>
      </c>
      <c r="B36" s="854" t="s">
        <v>468</v>
      </c>
    </row>
    <row r="37" spans="1:2" ht="15.75">
      <c r="A37" s="137" t="s">
        <v>469</v>
      </c>
      <c r="B37" s="855" t="s">
        <v>468</v>
      </c>
    </row>
    <row r="38" spans="1:2" ht="15.75">
      <c r="A38" s="853" t="s">
        <v>470</v>
      </c>
      <c r="B38" s="447" t="s">
        <v>471</v>
      </c>
    </row>
    <row r="39" spans="1:2" ht="15.75">
      <c r="A39" s="853" t="s">
        <v>139</v>
      </c>
      <c r="B39" s="447" t="s">
        <v>472</v>
      </c>
    </row>
    <row r="40" spans="1:2" ht="15.75">
      <c r="A40" s="853" t="s">
        <v>473</v>
      </c>
      <c r="B40" s="447" t="s">
        <v>474</v>
      </c>
    </row>
    <row r="41" spans="1:2" ht="15.75">
      <c r="A41" s="856" t="s">
        <v>473</v>
      </c>
      <c r="B41" s="447" t="s">
        <v>474</v>
      </c>
    </row>
    <row r="42" spans="1:2" ht="15.75">
      <c r="A42" s="853" t="s">
        <v>141</v>
      </c>
      <c r="B42" s="447" t="s">
        <v>475</v>
      </c>
    </row>
    <row r="43" spans="1:2" ht="15.75">
      <c r="A43" s="856" t="s">
        <v>476</v>
      </c>
      <c r="B43" s="447" t="s">
        <v>477</v>
      </c>
    </row>
    <row r="44" spans="1:2" ht="15.75">
      <c r="A44" s="853"/>
      <c r="B44" s="447"/>
    </row>
    <row r="45" spans="1:2" ht="15.75">
      <c r="A45" s="853"/>
      <c r="B45" s="447"/>
    </row>
    <row r="46" spans="1:2" ht="15.75">
      <c r="A46" s="853"/>
      <c r="B46" s="447"/>
    </row>
    <row r="47" spans="1:2" ht="15.75">
      <c r="A47" s="853"/>
      <c r="B47" s="447"/>
    </row>
    <row r="48" spans="1:2" ht="15.75">
      <c r="A48" s="853"/>
      <c r="B48" s="447"/>
    </row>
    <row r="49" spans="1:2">
      <c r="A49" s="166"/>
      <c r="B49" s="166"/>
    </row>
    <row r="50" spans="1:2">
      <c r="A50" s="166"/>
      <c r="B50" s="166"/>
    </row>
    <row r="51" spans="1:2">
      <c r="A51" s="166"/>
      <c r="B51" s="166"/>
    </row>
    <row r="52" spans="1:2">
      <c r="A52" s="166"/>
      <c r="B52" s="166"/>
    </row>
    <row r="53" spans="1:2">
      <c r="A53" s="166"/>
      <c r="B53" s="166"/>
    </row>
    <row r="54" spans="1:2">
      <c r="A54" s="166"/>
      <c r="B54" s="166"/>
    </row>
    <row r="55" spans="1:2">
      <c r="A55" s="166"/>
      <c r="B55" s="166"/>
    </row>
    <row r="56" spans="1:2">
      <c r="A56" s="166"/>
      <c r="B56" s="166"/>
    </row>
    <row r="57" spans="1:2">
      <c r="A57" s="166"/>
      <c r="B57" s="166"/>
    </row>
    <row r="58" spans="1:2">
      <c r="A58" s="166"/>
      <c r="B58" s="166"/>
    </row>
    <row r="59" spans="1:2">
      <c r="A59" s="166"/>
      <c r="B59" s="166"/>
    </row>
    <row r="60" spans="1:2">
      <c r="A60" s="166"/>
      <c r="B60" s="166"/>
    </row>
    <row r="61" spans="1:2">
      <c r="A61" s="166"/>
      <c r="B61" s="166"/>
    </row>
    <row r="62" spans="1:2">
      <c r="A62" s="166"/>
      <c r="B62" s="166"/>
    </row>
    <row r="63" spans="1:2">
      <c r="A63" s="166"/>
      <c r="B63" s="166"/>
    </row>
    <row r="64" spans="1:2">
      <c r="A64" s="166"/>
      <c r="B64" s="166"/>
    </row>
    <row r="65" spans="1:2">
      <c r="A65" s="166"/>
      <c r="B65" s="166"/>
    </row>
    <row r="66" spans="1:2">
      <c r="A66" s="166"/>
      <c r="B66" s="166"/>
    </row>
  </sheetData>
  <mergeCells count="9">
    <mergeCell ref="BZ3:CA3"/>
    <mergeCell ref="A1:B1"/>
    <mergeCell ref="C1:BW1"/>
    <mergeCell ref="A2:B2"/>
    <mergeCell ref="C2:BW2"/>
    <mergeCell ref="A3:A4"/>
    <mergeCell ref="C3:E3"/>
    <mergeCell ref="F3:L3"/>
    <mergeCell ref="M3:R3"/>
  </mergeCells>
  <conditionalFormatting sqref="CA5:CA28">
    <cfRule type="cellIs" dxfId="42" priority="2" operator="greaterThan">
      <formula>0</formula>
    </cfRule>
  </conditionalFormatting>
  <conditionalFormatting sqref="BY5:BY29">
    <cfRule type="cellIs" dxfId="41" priority="1" operator="lessThan">
      <formula>3</formula>
    </cfRule>
  </conditionalFormatting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T66"/>
  <sheetViews>
    <sheetView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customWidth="1"/>
    <col min="2" max="2" width="34.44140625" customWidth="1"/>
    <col min="3" max="68" width="2.77734375" customWidth="1"/>
    <col min="69" max="69" width="6.33203125" customWidth="1"/>
    <col min="70" max="70" width="10.6640625" customWidth="1"/>
    <col min="71" max="72" width="8.109375" customWidth="1"/>
  </cols>
  <sheetData>
    <row r="1" spans="1:72" ht="27.75">
      <c r="A1" s="1277" t="s">
        <v>38</v>
      </c>
      <c r="B1" s="1277"/>
      <c r="C1" s="1276" t="s">
        <v>20</v>
      </c>
      <c r="D1" s="1276"/>
      <c r="E1" s="1276"/>
      <c r="F1" s="1276"/>
      <c r="G1" s="1276"/>
      <c r="H1" s="1276"/>
      <c r="I1" s="1276"/>
      <c r="J1" s="1276"/>
      <c r="K1" s="1276"/>
      <c r="L1" s="1276"/>
      <c r="M1" s="1276"/>
      <c r="N1" s="1276"/>
      <c r="O1" s="1276"/>
      <c r="P1" s="1276"/>
      <c r="Q1" s="1276"/>
      <c r="R1" s="1276"/>
      <c r="S1" s="1276"/>
      <c r="T1" s="1276"/>
      <c r="U1" s="1276"/>
      <c r="V1" s="1276"/>
      <c r="W1" s="1276"/>
      <c r="X1" s="1276"/>
      <c r="Y1" s="1276"/>
      <c r="Z1" s="1276"/>
      <c r="AA1" s="1276"/>
      <c r="AB1" s="1276"/>
      <c r="AC1" s="1276"/>
      <c r="AD1" s="1276"/>
      <c r="AE1" s="1276"/>
      <c r="AF1" s="1276"/>
      <c r="AG1" s="1276"/>
      <c r="AH1" s="1276"/>
      <c r="AI1" s="1276"/>
      <c r="AJ1" s="1276"/>
      <c r="AK1" s="1276"/>
      <c r="AL1" s="1276"/>
      <c r="AM1" s="1276"/>
      <c r="AN1" s="1276"/>
      <c r="AO1" s="1276"/>
      <c r="AP1" s="1276"/>
      <c r="AQ1" s="1276"/>
      <c r="AR1" s="1276"/>
      <c r="AS1" s="1276"/>
      <c r="AT1" s="1276"/>
      <c r="AU1" s="1276"/>
      <c r="AV1" s="1276"/>
      <c r="AW1" s="1276"/>
      <c r="AX1" s="1276"/>
      <c r="AY1" s="1276"/>
      <c r="AZ1" s="1276"/>
      <c r="BA1" s="1276"/>
      <c r="BB1" s="1276"/>
      <c r="BC1" s="1276"/>
      <c r="BD1" s="1276"/>
      <c r="BE1" s="1276"/>
      <c r="BF1" s="1276"/>
      <c r="BG1" s="1276"/>
      <c r="BH1" s="1276"/>
      <c r="BI1" s="1276"/>
      <c r="BJ1" s="1276"/>
      <c r="BK1" s="1276"/>
      <c r="BL1" s="1276"/>
      <c r="BM1" s="1276"/>
      <c r="BN1" s="1276"/>
      <c r="BO1" s="1276"/>
      <c r="BP1" s="1276"/>
      <c r="BQ1" s="29"/>
    </row>
    <row r="2" spans="1:72" ht="27.75">
      <c r="A2" s="1277" t="s">
        <v>39</v>
      </c>
      <c r="B2" s="1277"/>
      <c r="C2" s="1277"/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1277"/>
      <c r="AD2" s="1277"/>
      <c r="AE2" s="1277"/>
      <c r="AF2" s="1277"/>
      <c r="AG2" s="1277"/>
      <c r="AH2" s="1277"/>
      <c r="AI2" s="1277"/>
      <c r="AJ2" s="1277"/>
      <c r="AK2" s="1277"/>
      <c r="AL2" s="1277"/>
      <c r="AM2" s="1277"/>
      <c r="AN2" s="1277"/>
      <c r="AO2" s="1277"/>
      <c r="AP2" s="1277"/>
      <c r="AQ2" s="1277"/>
      <c r="AR2" s="1277"/>
      <c r="AS2" s="1277"/>
      <c r="AT2" s="1277"/>
      <c r="AU2" s="1277"/>
      <c r="AV2" s="1277"/>
      <c r="AW2" s="1277"/>
      <c r="AX2" s="1277"/>
      <c r="AY2" s="1277"/>
      <c r="AZ2" s="1277"/>
      <c r="BA2" s="1277"/>
      <c r="BB2" s="1277"/>
      <c r="BC2" s="1277"/>
      <c r="BD2" s="1277"/>
      <c r="BE2" s="1277"/>
      <c r="BF2" s="1277"/>
      <c r="BG2" s="1277"/>
      <c r="BH2" s="1277"/>
      <c r="BI2" s="1277"/>
      <c r="BJ2" s="1277"/>
      <c r="BK2" s="1277"/>
      <c r="BL2" s="1277"/>
      <c r="BM2" s="1277"/>
      <c r="BN2" s="1277"/>
      <c r="BO2" s="1277"/>
      <c r="BP2" s="1277"/>
      <c r="BQ2" s="31"/>
      <c r="BR2" s="32"/>
      <c r="BS2" s="32"/>
      <c r="BT2" s="32"/>
    </row>
    <row r="3" spans="1:72" ht="15.75">
      <c r="A3" s="1281" t="s">
        <v>41</v>
      </c>
      <c r="B3" s="129" t="s">
        <v>42</v>
      </c>
      <c r="C3" s="1366" t="s">
        <v>150</v>
      </c>
      <c r="D3" s="1367"/>
      <c r="E3" s="1368"/>
      <c r="F3" s="1369" t="s">
        <v>151</v>
      </c>
      <c r="G3" s="1370"/>
      <c r="H3" s="1370"/>
      <c r="I3" s="1371"/>
      <c r="J3" s="1372" t="s">
        <v>456</v>
      </c>
      <c r="K3" s="1373"/>
      <c r="L3" s="1374"/>
      <c r="M3" s="1375" t="s">
        <v>153</v>
      </c>
      <c r="N3" s="1376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44" t="s">
        <v>207</v>
      </c>
      <c r="BR3" s="45"/>
      <c r="BS3" s="1278" t="s">
        <v>0</v>
      </c>
      <c r="BT3" s="1279"/>
    </row>
    <row r="4" spans="1:72" ht="15.75">
      <c r="A4" s="1282"/>
      <c r="B4" s="132" t="s">
        <v>43</v>
      </c>
      <c r="C4" s="857">
        <v>16</v>
      </c>
      <c r="D4" s="857">
        <v>21</v>
      </c>
      <c r="E4" s="857">
        <v>30</v>
      </c>
      <c r="F4" s="857">
        <v>4</v>
      </c>
      <c r="G4" s="858">
        <v>9</v>
      </c>
      <c r="H4" s="858">
        <v>10</v>
      </c>
      <c r="I4" s="857">
        <v>24</v>
      </c>
      <c r="J4" s="857">
        <v>11</v>
      </c>
      <c r="K4" s="858">
        <v>14</v>
      </c>
      <c r="L4" s="857">
        <v>31</v>
      </c>
      <c r="M4" s="857">
        <v>8</v>
      </c>
      <c r="N4" s="857">
        <v>10</v>
      </c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9" t="s">
        <v>32</v>
      </c>
      <c r="BR4" s="45" t="s">
        <v>33</v>
      </c>
      <c r="BS4" s="60" t="s">
        <v>5</v>
      </c>
      <c r="BT4" s="60" t="s">
        <v>6</v>
      </c>
    </row>
    <row r="5" spans="1:72" ht="16.5" customHeight="1">
      <c r="A5" s="136" t="s">
        <v>44</v>
      </c>
      <c r="B5" s="137" t="s">
        <v>45</v>
      </c>
      <c r="C5" s="108" t="s">
        <v>37</v>
      </c>
      <c r="D5" s="96" t="s">
        <v>46</v>
      </c>
      <c r="E5" s="96" t="s">
        <v>37</v>
      </c>
      <c r="F5" s="96"/>
      <c r="G5" s="70" t="s">
        <v>36</v>
      </c>
      <c r="H5" s="859">
        <v>2</v>
      </c>
      <c r="I5" s="70" t="s">
        <v>46</v>
      </c>
      <c r="J5" s="70" t="s">
        <v>46</v>
      </c>
      <c r="K5" s="96" t="s">
        <v>46</v>
      </c>
      <c r="L5" s="70" t="s">
        <v>46</v>
      </c>
      <c r="M5" s="70" t="s">
        <v>46</v>
      </c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322"/>
      <c r="AV5" s="70"/>
      <c r="AW5" s="322"/>
      <c r="AX5" s="322"/>
      <c r="AY5" s="322"/>
      <c r="AZ5" s="322"/>
      <c r="BA5" s="322"/>
      <c r="BB5" s="322"/>
      <c r="BC5" s="322"/>
      <c r="BD5" s="322"/>
      <c r="BE5" s="322"/>
      <c r="BF5" s="322"/>
      <c r="BG5" s="322"/>
      <c r="BH5" s="322"/>
      <c r="BI5" s="322"/>
      <c r="BJ5" s="322"/>
      <c r="BK5" s="322"/>
      <c r="BL5" s="322"/>
      <c r="BM5" s="322"/>
      <c r="BN5" s="322"/>
      <c r="BO5" s="322"/>
      <c r="BP5" s="322"/>
      <c r="BQ5" s="75"/>
      <c r="BR5" s="76">
        <f t="shared" ref="BR5:BR9" si="0">IFERROR(AVERAGE(C5:BQ5),"Нет оценок")</f>
        <v>2</v>
      </c>
      <c r="BS5" s="77">
        <f t="shared" ref="BS5:BS9" si="1">COUNTIF(C5:BQ5,"н/у")</f>
        <v>0</v>
      </c>
      <c r="BT5" s="77">
        <f t="shared" ref="BT5:BT9" si="2">COUNTIF(C5:BQ5,"н")</f>
        <v>6</v>
      </c>
    </row>
    <row r="6" spans="1:72" ht="16.5" customHeight="1">
      <c r="A6" s="139" t="s">
        <v>49</v>
      </c>
      <c r="B6" s="140" t="s">
        <v>50</v>
      </c>
      <c r="C6" s="108" t="s">
        <v>46</v>
      </c>
      <c r="D6" s="96">
        <v>2</v>
      </c>
      <c r="E6" s="96" t="s">
        <v>46</v>
      </c>
      <c r="F6" s="96" t="s">
        <v>46</v>
      </c>
      <c r="G6" s="96"/>
      <c r="H6" s="860">
        <v>2</v>
      </c>
      <c r="I6" s="96" t="s">
        <v>46</v>
      </c>
      <c r="J6" s="96" t="s">
        <v>36</v>
      </c>
      <c r="K6" s="96"/>
      <c r="L6" s="96"/>
      <c r="M6" s="96" t="s">
        <v>46</v>
      </c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327"/>
      <c r="AV6" s="96"/>
      <c r="AW6" s="327"/>
      <c r="AX6" s="327"/>
      <c r="AY6" s="327"/>
      <c r="AZ6" s="327"/>
      <c r="BA6" s="327"/>
      <c r="BB6" s="327"/>
      <c r="BC6" s="327"/>
      <c r="BD6" s="327"/>
      <c r="BE6" s="327"/>
      <c r="BF6" s="327"/>
      <c r="BG6" s="327"/>
      <c r="BH6" s="327"/>
      <c r="BI6" s="327"/>
      <c r="BJ6" s="327"/>
      <c r="BK6" s="327"/>
      <c r="BL6" s="327"/>
      <c r="BM6" s="327"/>
      <c r="BN6" s="327"/>
      <c r="BO6" s="327"/>
      <c r="BP6" s="327"/>
      <c r="BQ6" s="396"/>
      <c r="BR6" s="76">
        <f t="shared" si="0"/>
        <v>2</v>
      </c>
      <c r="BS6" s="77">
        <f t="shared" si="1"/>
        <v>0</v>
      </c>
      <c r="BT6" s="77">
        <f t="shared" si="2"/>
        <v>5</v>
      </c>
    </row>
    <row r="7" spans="1:72" ht="16.5" customHeight="1">
      <c r="A7" s="204" t="s">
        <v>51</v>
      </c>
      <c r="B7" s="137" t="s">
        <v>52</v>
      </c>
      <c r="C7" s="74" t="s">
        <v>37</v>
      </c>
      <c r="D7" s="70">
        <v>4</v>
      </c>
      <c r="E7" s="70" t="s">
        <v>37</v>
      </c>
      <c r="F7" s="70"/>
      <c r="G7" s="70"/>
      <c r="H7" s="859">
        <v>3</v>
      </c>
      <c r="I7" s="70" t="s">
        <v>37</v>
      </c>
      <c r="J7" s="70"/>
      <c r="K7" s="70">
        <v>5</v>
      </c>
      <c r="L7" s="70"/>
      <c r="M7" s="70" t="s">
        <v>37</v>
      </c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322"/>
      <c r="AV7" s="70"/>
      <c r="AW7" s="322"/>
      <c r="AX7" s="322"/>
      <c r="AY7" s="322"/>
      <c r="AZ7" s="322"/>
      <c r="BA7" s="322"/>
      <c r="BB7" s="322"/>
      <c r="BC7" s="322"/>
      <c r="BD7" s="322"/>
      <c r="BE7" s="322"/>
      <c r="BF7" s="322"/>
      <c r="BG7" s="322"/>
      <c r="BH7" s="322"/>
      <c r="BI7" s="322"/>
      <c r="BJ7" s="322"/>
      <c r="BK7" s="322"/>
      <c r="BL7" s="322"/>
      <c r="BM7" s="322"/>
      <c r="BN7" s="322"/>
      <c r="BO7" s="322"/>
      <c r="BP7" s="322"/>
      <c r="BQ7" s="75"/>
      <c r="BR7" s="76">
        <f t="shared" si="0"/>
        <v>4</v>
      </c>
      <c r="BS7" s="77">
        <f t="shared" si="1"/>
        <v>0</v>
      </c>
      <c r="BT7" s="77">
        <f t="shared" si="2"/>
        <v>0</v>
      </c>
    </row>
    <row r="8" spans="1:72" ht="16.5" customHeight="1">
      <c r="A8" s="144" t="s">
        <v>53</v>
      </c>
      <c r="B8" s="137" t="s">
        <v>54</v>
      </c>
      <c r="C8" s="74" t="s">
        <v>46</v>
      </c>
      <c r="D8" s="70">
        <v>3</v>
      </c>
      <c r="E8" s="70" t="s">
        <v>36</v>
      </c>
      <c r="F8" s="70"/>
      <c r="G8" s="70"/>
      <c r="H8" s="859">
        <v>2</v>
      </c>
      <c r="I8" s="70" t="s">
        <v>37</v>
      </c>
      <c r="J8" s="70"/>
      <c r="K8" s="70"/>
      <c r="L8" s="70"/>
      <c r="M8" s="70" t="s">
        <v>37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322"/>
      <c r="AV8" s="70"/>
      <c r="AW8" s="322"/>
      <c r="AX8" s="322"/>
      <c r="AY8" s="322"/>
      <c r="AZ8" s="322"/>
      <c r="BA8" s="322"/>
      <c r="BB8" s="322"/>
      <c r="BC8" s="322"/>
      <c r="BD8" s="322"/>
      <c r="BE8" s="322"/>
      <c r="BF8" s="322"/>
      <c r="BG8" s="322"/>
      <c r="BH8" s="322"/>
      <c r="BI8" s="322"/>
      <c r="BJ8" s="322"/>
      <c r="BK8" s="322"/>
      <c r="BL8" s="322"/>
      <c r="BM8" s="322"/>
      <c r="BN8" s="322"/>
      <c r="BO8" s="322"/>
      <c r="BP8" s="322"/>
      <c r="BQ8" s="75"/>
      <c r="BR8" s="76">
        <f t="shared" si="0"/>
        <v>2.5</v>
      </c>
      <c r="BS8" s="77">
        <f t="shared" si="1"/>
        <v>0</v>
      </c>
      <c r="BT8" s="77">
        <f t="shared" si="2"/>
        <v>1</v>
      </c>
    </row>
    <row r="9" spans="1:72" ht="16.5" customHeight="1">
      <c r="A9" s="146" t="s">
        <v>55</v>
      </c>
      <c r="B9" s="147" t="s">
        <v>56</v>
      </c>
      <c r="C9" s="105" t="s">
        <v>226</v>
      </c>
      <c r="D9" s="119" t="s">
        <v>46</v>
      </c>
      <c r="E9" s="119" t="s">
        <v>36</v>
      </c>
      <c r="F9" s="119" t="s">
        <v>37</v>
      </c>
      <c r="G9" s="119"/>
      <c r="H9" s="861">
        <v>2</v>
      </c>
      <c r="I9" s="119" t="s">
        <v>37</v>
      </c>
      <c r="J9" s="119" t="s">
        <v>46</v>
      </c>
      <c r="K9" s="119"/>
      <c r="L9" s="119"/>
      <c r="M9" s="119" t="s">
        <v>46</v>
      </c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411"/>
      <c r="BR9" s="76">
        <f t="shared" si="0"/>
        <v>2</v>
      </c>
      <c r="BS9" s="77">
        <f t="shared" si="1"/>
        <v>0</v>
      </c>
      <c r="BT9" s="77">
        <f t="shared" si="2"/>
        <v>3</v>
      </c>
    </row>
    <row r="10" spans="1:72" ht="16.5" customHeight="1">
      <c r="A10" s="149" t="s">
        <v>57</v>
      </c>
      <c r="B10" s="150" t="s">
        <v>58</v>
      </c>
      <c r="C10" s="108" t="s">
        <v>37</v>
      </c>
      <c r="D10" s="96">
        <v>5</v>
      </c>
      <c r="E10" s="96" t="s">
        <v>37</v>
      </c>
      <c r="F10" s="96"/>
      <c r="G10" s="96"/>
      <c r="H10" s="860">
        <v>3</v>
      </c>
      <c r="I10" s="96" t="s">
        <v>37</v>
      </c>
      <c r="J10" s="96"/>
      <c r="K10" s="96">
        <v>5</v>
      </c>
      <c r="L10" s="96">
        <v>5</v>
      </c>
      <c r="M10" s="96" t="s">
        <v>37</v>
      </c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412"/>
      <c r="BR10" s="76">
        <f t="shared" ref="BR10:BR28" si="3">IFERROR(AVERAGE(C10:BQ10),"Нет оценок")</f>
        <v>4.5</v>
      </c>
      <c r="BS10" s="77">
        <f t="shared" ref="BS10:BS28" si="4">COUNTIF(C10:BQ10,"н/у")</f>
        <v>0</v>
      </c>
      <c r="BT10" s="77">
        <f t="shared" ref="BT10:BT28" si="5">COUNTIF(C10:BQ10,"н")</f>
        <v>0</v>
      </c>
    </row>
    <row r="11" spans="1:72" ht="16.5" customHeight="1">
      <c r="A11" s="144" t="s">
        <v>59</v>
      </c>
      <c r="B11" s="137" t="s">
        <v>60</v>
      </c>
      <c r="C11" s="74" t="s">
        <v>46</v>
      </c>
      <c r="D11" s="70">
        <v>4</v>
      </c>
      <c r="E11" s="70" t="s">
        <v>36</v>
      </c>
      <c r="F11" s="70" t="s">
        <v>37</v>
      </c>
      <c r="G11" s="70"/>
      <c r="H11" s="859">
        <v>2</v>
      </c>
      <c r="I11" s="70" t="s">
        <v>37</v>
      </c>
      <c r="J11" s="70" t="s">
        <v>36</v>
      </c>
      <c r="K11" s="70">
        <v>4</v>
      </c>
      <c r="L11" s="70"/>
      <c r="M11" s="70" t="s">
        <v>37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97"/>
      <c r="BR11" s="76">
        <f t="shared" si="3"/>
        <v>3.3333333333333335</v>
      </c>
      <c r="BS11" s="77">
        <f t="shared" si="4"/>
        <v>0</v>
      </c>
      <c r="BT11" s="77">
        <f t="shared" si="5"/>
        <v>1</v>
      </c>
    </row>
    <row r="12" spans="1:72" ht="16.5" customHeight="1">
      <c r="A12" s="144" t="s">
        <v>61</v>
      </c>
      <c r="B12" s="137" t="s">
        <v>62</v>
      </c>
      <c r="C12" s="74" t="s">
        <v>34</v>
      </c>
      <c r="D12" s="70">
        <v>5</v>
      </c>
      <c r="E12" s="70" t="s">
        <v>37</v>
      </c>
      <c r="F12" s="70" t="s">
        <v>37</v>
      </c>
      <c r="G12" s="70"/>
      <c r="H12" s="859">
        <v>2</v>
      </c>
      <c r="I12" s="70" t="s">
        <v>37</v>
      </c>
      <c r="J12" s="70"/>
      <c r="K12" s="70"/>
      <c r="L12" s="70"/>
      <c r="M12" s="70" t="s">
        <v>46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97"/>
      <c r="BR12" s="76">
        <f t="shared" si="3"/>
        <v>3.5</v>
      </c>
      <c r="BS12" s="77">
        <f t="shared" si="4"/>
        <v>0</v>
      </c>
      <c r="BT12" s="77">
        <f t="shared" si="5"/>
        <v>1</v>
      </c>
    </row>
    <row r="13" spans="1:72" ht="16.5" customHeight="1">
      <c r="A13" s="144" t="s">
        <v>63</v>
      </c>
      <c r="B13" s="150" t="s">
        <v>64</v>
      </c>
      <c r="C13" s="108" t="s">
        <v>46</v>
      </c>
      <c r="D13" s="96" t="s">
        <v>46</v>
      </c>
      <c r="E13" s="96" t="s">
        <v>46</v>
      </c>
      <c r="F13" s="96"/>
      <c r="G13" s="96" t="s">
        <v>46</v>
      </c>
      <c r="H13" s="860">
        <v>2</v>
      </c>
      <c r="I13" s="96" t="s">
        <v>46</v>
      </c>
      <c r="J13" s="96"/>
      <c r="K13" s="96" t="s">
        <v>36</v>
      </c>
      <c r="L13" s="96" t="s">
        <v>46</v>
      </c>
      <c r="M13" s="96" t="s">
        <v>46</v>
      </c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238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412"/>
      <c r="BR13" s="76">
        <f t="shared" si="3"/>
        <v>2</v>
      </c>
      <c r="BS13" s="77">
        <f t="shared" si="4"/>
        <v>0</v>
      </c>
      <c r="BT13" s="77">
        <f t="shared" si="5"/>
        <v>7</v>
      </c>
    </row>
    <row r="14" spans="1:72" ht="16.5" customHeight="1">
      <c r="A14" s="146" t="s">
        <v>65</v>
      </c>
      <c r="B14" s="151" t="s">
        <v>66</v>
      </c>
      <c r="C14" s="101" t="s">
        <v>226</v>
      </c>
      <c r="D14" s="103" t="s">
        <v>46</v>
      </c>
      <c r="E14" s="103" t="s">
        <v>36</v>
      </c>
      <c r="F14" s="103"/>
      <c r="G14" s="103"/>
      <c r="H14" s="862">
        <v>2</v>
      </c>
      <c r="I14" s="103" t="s">
        <v>101</v>
      </c>
      <c r="J14" s="103"/>
      <c r="K14" s="103"/>
      <c r="L14" s="103"/>
      <c r="M14" s="103" t="s">
        <v>37</v>
      </c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7"/>
      <c r="BR14" s="76">
        <f t="shared" si="3"/>
        <v>2</v>
      </c>
      <c r="BS14" s="77">
        <f t="shared" si="4"/>
        <v>0</v>
      </c>
      <c r="BT14" s="77">
        <f t="shared" si="5"/>
        <v>1</v>
      </c>
    </row>
    <row r="15" spans="1:72" ht="16.5" customHeight="1">
      <c r="A15" s="149" t="s">
        <v>67</v>
      </c>
      <c r="B15" s="150" t="s">
        <v>68</v>
      </c>
      <c r="C15" s="108" t="s">
        <v>37</v>
      </c>
      <c r="D15" s="96">
        <v>2</v>
      </c>
      <c r="E15" s="96" t="s">
        <v>37</v>
      </c>
      <c r="F15" s="96"/>
      <c r="G15" s="96"/>
      <c r="H15" s="860">
        <v>3</v>
      </c>
      <c r="I15" s="96" t="s">
        <v>37</v>
      </c>
      <c r="J15" s="96"/>
      <c r="K15" s="96">
        <v>5</v>
      </c>
      <c r="L15" s="96" t="s">
        <v>46</v>
      </c>
      <c r="M15" s="96" t="s">
        <v>46</v>
      </c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412"/>
      <c r="BR15" s="76">
        <f t="shared" si="3"/>
        <v>3.3333333333333335</v>
      </c>
      <c r="BS15" s="77">
        <f t="shared" si="4"/>
        <v>0</v>
      </c>
      <c r="BT15" s="77">
        <f t="shared" si="5"/>
        <v>2</v>
      </c>
    </row>
    <row r="16" spans="1:72" ht="16.5" customHeight="1">
      <c r="A16" s="144" t="s">
        <v>69</v>
      </c>
      <c r="B16" s="137" t="s">
        <v>70</v>
      </c>
      <c r="C16" s="74" t="s">
        <v>226</v>
      </c>
      <c r="D16" s="70">
        <v>2</v>
      </c>
      <c r="E16" s="70" t="s">
        <v>37</v>
      </c>
      <c r="F16" s="70" t="s">
        <v>46</v>
      </c>
      <c r="G16" s="70"/>
      <c r="H16" s="859">
        <v>3</v>
      </c>
      <c r="I16" s="70" t="s">
        <v>37</v>
      </c>
      <c r="J16" s="70"/>
      <c r="K16" s="70">
        <v>5</v>
      </c>
      <c r="L16" s="70"/>
      <c r="M16" s="70" t="s">
        <v>46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97"/>
      <c r="BR16" s="76">
        <f t="shared" si="3"/>
        <v>3.3333333333333335</v>
      </c>
      <c r="BS16" s="77">
        <f t="shared" si="4"/>
        <v>0</v>
      </c>
      <c r="BT16" s="77">
        <f t="shared" si="5"/>
        <v>2</v>
      </c>
    </row>
    <row r="17" spans="1:72" ht="16.5" customHeight="1">
      <c r="A17" s="144" t="s">
        <v>71</v>
      </c>
      <c r="B17" s="137" t="s">
        <v>72</v>
      </c>
      <c r="C17" s="74" t="s">
        <v>46</v>
      </c>
      <c r="D17" s="70" t="s">
        <v>46</v>
      </c>
      <c r="E17" s="70" t="s">
        <v>36</v>
      </c>
      <c r="F17" s="70"/>
      <c r="G17" s="70" t="s">
        <v>36</v>
      </c>
      <c r="H17" s="859">
        <v>2</v>
      </c>
      <c r="I17" s="70" t="s">
        <v>46</v>
      </c>
      <c r="J17" s="70" t="s">
        <v>46</v>
      </c>
      <c r="K17" s="70" t="s">
        <v>46</v>
      </c>
      <c r="L17" s="70" t="s">
        <v>46</v>
      </c>
      <c r="M17" s="70" t="s">
        <v>37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97"/>
      <c r="BR17" s="76">
        <f t="shared" si="3"/>
        <v>2</v>
      </c>
      <c r="BS17" s="77">
        <f t="shared" si="4"/>
        <v>0</v>
      </c>
      <c r="BT17" s="77">
        <f t="shared" si="5"/>
        <v>6</v>
      </c>
    </row>
    <row r="18" spans="1:72" ht="16.5" customHeight="1">
      <c r="A18" s="144" t="s">
        <v>73</v>
      </c>
      <c r="B18" s="150" t="s">
        <v>74</v>
      </c>
      <c r="C18" s="108" t="s">
        <v>226</v>
      </c>
      <c r="D18" s="96" t="s">
        <v>46</v>
      </c>
      <c r="E18" s="96" t="s">
        <v>101</v>
      </c>
      <c r="F18" s="96"/>
      <c r="G18" s="96"/>
      <c r="H18" s="860">
        <v>2</v>
      </c>
      <c r="I18" s="96" t="s">
        <v>37</v>
      </c>
      <c r="J18" s="96"/>
      <c r="K18" s="96"/>
      <c r="L18" s="96" t="s">
        <v>46</v>
      </c>
      <c r="M18" s="96" t="s">
        <v>46</v>
      </c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412"/>
      <c r="BR18" s="76">
        <f t="shared" si="3"/>
        <v>2</v>
      </c>
      <c r="BS18" s="77">
        <f t="shared" si="4"/>
        <v>0</v>
      </c>
      <c r="BT18" s="77">
        <f t="shared" si="5"/>
        <v>3</v>
      </c>
    </row>
    <row r="19" spans="1:72" ht="16.5" customHeight="1">
      <c r="A19" s="146" t="s">
        <v>75</v>
      </c>
      <c r="B19" s="151" t="s">
        <v>76</v>
      </c>
      <c r="C19" s="101" t="s">
        <v>226</v>
      </c>
      <c r="D19" s="103">
        <v>5</v>
      </c>
      <c r="E19" s="103" t="s">
        <v>37</v>
      </c>
      <c r="F19" s="103" t="s">
        <v>37</v>
      </c>
      <c r="G19" s="103"/>
      <c r="H19" s="862" t="s">
        <v>46</v>
      </c>
      <c r="I19" s="103" t="s">
        <v>37</v>
      </c>
      <c r="J19" s="103"/>
      <c r="K19" s="103"/>
      <c r="L19" s="103"/>
      <c r="M19" s="103" t="s">
        <v>37</v>
      </c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7"/>
      <c r="BR19" s="76">
        <f t="shared" si="3"/>
        <v>5</v>
      </c>
      <c r="BS19" s="77">
        <f t="shared" si="4"/>
        <v>0</v>
      </c>
      <c r="BT19" s="77">
        <f t="shared" si="5"/>
        <v>1</v>
      </c>
    </row>
    <row r="20" spans="1:72" ht="16.5" customHeight="1">
      <c r="A20" s="149" t="s">
        <v>77</v>
      </c>
      <c r="B20" s="150" t="s">
        <v>78</v>
      </c>
      <c r="C20" s="108" t="s">
        <v>37</v>
      </c>
      <c r="D20" s="96">
        <v>4</v>
      </c>
      <c r="E20" s="96" t="s">
        <v>37</v>
      </c>
      <c r="F20" s="96" t="s">
        <v>46</v>
      </c>
      <c r="G20" s="96" t="s">
        <v>46</v>
      </c>
      <c r="H20" s="860">
        <v>2</v>
      </c>
      <c r="I20" s="96" t="s">
        <v>37</v>
      </c>
      <c r="J20" s="96"/>
      <c r="K20" s="96"/>
      <c r="L20" s="96"/>
      <c r="M20" s="96" t="s">
        <v>37</v>
      </c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412"/>
      <c r="BR20" s="76">
        <f t="shared" si="3"/>
        <v>3</v>
      </c>
      <c r="BS20" s="77">
        <f t="shared" si="4"/>
        <v>0</v>
      </c>
      <c r="BT20" s="77">
        <f t="shared" si="5"/>
        <v>2</v>
      </c>
    </row>
    <row r="21" spans="1:72" ht="16.5" customHeight="1">
      <c r="A21" s="144" t="s">
        <v>79</v>
      </c>
      <c r="B21" s="137" t="s">
        <v>80</v>
      </c>
      <c r="C21" s="74" t="s">
        <v>46</v>
      </c>
      <c r="D21" s="70">
        <v>2</v>
      </c>
      <c r="E21" s="70" t="s">
        <v>46</v>
      </c>
      <c r="F21" s="70"/>
      <c r="G21" s="70"/>
      <c r="H21" s="859">
        <v>2</v>
      </c>
      <c r="I21" s="70" t="s">
        <v>37</v>
      </c>
      <c r="J21" s="70"/>
      <c r="K21" s="70">
        <v>3</v>
      </c>
      <c r="L21" s="70" t="s">
        <v>36</v>
      </c>
      <c r="M21" s="70" t="s">
        <v>46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97"/>
      <c r="BR21" s="76">
        <f t="shared" si="3"/>
        <v>2.3333333333333335</v>
      </c>
      <c r="BS21" s="77">
        <f t="shared" si="4"/>
        <v>0</v>
      </c>
      <c r="BT21" s="77">
        <f t="shared" si="5"/>
        <v>3</v>
      </c>
    </row>
    <row r="22" spans="1:72" ht="16.5" customHeight="1">
      <c r="A22" s="144" t="s">
        <v>81</v>
      </c>
      <c r="B22" s="137" t="s">
        <v>82</v>
      </c>
      <c r="C22" s="74" t="s">
        <v>46</v>
      </c>
      <c r="D22" s="70">
        <v>4</v>
      </c>
      <c r="E22" s="70" t="s">
        <v>37</v>
      </c>
      <c r="F22" s="70" t="s">
        <v>37</v>
      </c>
      <c r="G22" s="70"/>
      <c r="H22" s="859">
        <v>2</v>
      </c>
      <c r="I22" s="70" t="s">
        <v>46</v>
      </c>
      <c r="J22" s="70"/>
      <c r="K22" s="70" t="s">
        <v>46</v>
      </c>
      <c r="L22" s="70" t="s">
        <v>48</v>
      </c>
      <c r="M22" s="70" t="s">
        <v>46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97"/>
      <c r="BR22" s="76">
        <f t="shared" si="3"/>
        <v>3</v>
      </c>
      <c r="BS22" s="77">
        <f t="shared" si="4"/>
        <v>1</v>
      </c>
      <c r="BT22" s="77">
        <f t="shared" si="5"/>
        <v>4</v>
      </c>
    </row>
    <row r="23" spans="1:72" ht="16.5" customHeight="1">
      <c r="A23" s="144" t="s">
        <v>83</v>
      </c>
      <c r="B23" s="150" t="s">
        <v>84</v>
      </c>
      <c r="C23" s="108" t="s">
        <v>46</v>
      </c>
      <c r="D23" s="96">
        <v>5</v>
      </c>
      <c r="E23" s="96" t="s">
        <v>46</v>
      </c>
      <c r="F23" s="96" t="s">
        <v>46</v>
      </c>
      <c r="G23" s="96" t="s">
        <v>36</v>
      </c>
      <c r="H23" s="860" t="s">
        <v>46</v>
      </c>
      <c r="I23" s="96" t="s">
        <v>46</v>
      </c>
      <c r="J23" s="96" t="s">
        <v>46</v>
      </c>
      <c r="K23" s="96" t="s">
        <v>46</v>
      </c>
      <c r="L23" s="96" t="s">
        <v>46</v>
      </c>
      <c r="M23" s="96" t="s">
        <v>46</v>
      </c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412"/>
      <c r="BR23" s="76">
        <f t="shared" si="3"/>
        <v>5</v>
      </c>
      <c r="BS23" s="77">
        <f t="shared" si="4"/>
        <v>0</v>
      </c>
      <c r="BT23" s="77">
        <f t="shared" si="5"/>
        <v>9</v>
      </c>
    </row>
    <row r="24" spans="1:72" ht="15" customHeight="1">
      <c r="A24" s="154" t="s">
        <v>27</v>
      </c>
      <c r="B24" s="151" t="s">
        <v>85</v>
      </c>
      <c r="C24" s="101" t="s">
        <v>37</v>
      </c>
      <c r="D24" s="103">
        <v>5</v>
      </c>
      <c r="E24" s="103" t="s">
        <v>36</v>
      </c>
      <c r="F24" s="103"/>
      <c r="G24" s="103" t="s">
        <v>37</v>
      </c>
      <c r="H24" s="862">
        <v>2</v>
      </c>
      <c r="I24" s="103" t="s">
        <v>37</v>
      </c>
      <c r="J24" s="103"/>
      <c r="K24" s="103">
        <v>5</v>
      </c>
      <c r="L24" s="103" t="s">
        <v>34</v>
      </c>
      <c r="M24" s="103" t="s">
        <v>46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107"/>
      <c r="BR24" s="76">
        <f t="shared" si="3"/>
        <v>4</v>
      </c>
      <c r="BS24" s="77">
        <f t="shared" si="4"/>
        <v>0</v>
      </c>
      <c r="BT24" s="77">
        <f t="shared" si="5"/>
        <v>1</v>
      </c>
    </row>
    <row r="25" spans="1:72" ht="16.5" customHeight="1">
      <c r="A25" s="156" t="s">
        <v>86</v>
      </c>
      <c r="B25" s="150" t="s">
        <v>87</v>
      </c>
      <c r="C25" s="108" t="s">
        <v>46</v>
      </c>
      <c r="D25" s="96" t="s">
        <v>46</v>
      </c>
      <c r="E25" s="96" t="s">
        <v>36</v>
      </c>
      <c r="F25" s="96" t="s">
        <v>46</v>
      </c>
      <c r="G25" s="96" t="s">
        <v>36</v>
      </c>
      <c r="H25" s="860">
        <v>2</v>
      </c>
      <c r="I25" s="96" t="s">
        <v>37</v>
      </c>
      <c r="J25" s="96"/>
      <c r="K25" s="96" t="s">
        <v>46</v>
      </c>
      <c r="L25" s="96" t="s">
        <v>46</v>
      </c>
      <c r="M25" s="96" t="s">
        <v>46</v>
      </c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412"/>
      <c r="BR25" s="76">
        <f t="shared" si="3"/>
        <v>2</v>
      </c>
      <c r="BS25" s="77">
        <f t="shared" si="4"/>
        <v>0</v>
      </c>
      <c r="BT25" s="77">
        <f t="shared" si="5"/>
        <v>6</v>
      </c>
    </row>
    <row r="26" spans="1:72" s="847" customFormat="1" ht="16.5" hidden="1" customHeight="1">
      <c r="A26" s="139" t="s">
        <v>86</v>
      </c>
      <c r="B26" s="159" t="s">
        <v>88</v>
      </c>
      <c r="C26" s="160"/>
      <c r="D26" s="161"/>
      <c r="E26" s="161"/>
      <c r="F26" s="161"/>
      <c r="G26" s="161"/>
      <c r="H26" s="863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61"/>
      <c r="BK26" s="161"/>
      <c r="BL26" s="161"/>
      <c r="BM26" s="161"/>
      <c r="BN26" s="161"/>
      <c r="BO26" s="161"/>
      <c r="BP26" s="161"/>
      <c r="BQ26" s="864"/>
      <c r="BR26" s="850" t="str">
        <f t="shared" si="3"/>
        <v>Нет оценок</v>
      </c>
      <c r="BS26" s="851">
        <f t="shared" si="4"/>
        <v>0</v>
      </c>
      <c r="BT26" s="851">
        <f t="shared" si="5"/>
        <v>0</v>
      </c>
    </row>
    <row r="27" spans="1:72" ht="16.5" customHeight="1">
      <c r="A27" s="139" t="s">
        <v>89</v>
      </c>
      <c r="B27" s="137" t="s">
        <v>90</v>
      </c>
      <c r="C27" s="95" t="s">
        <v>46</v>
      </c>
      <c r="D27" s="73" t="s">
        <v>46</v>
      </c>
      <c r="E27" s="73" t="s">
        <v>37</v>
      </c>
      <c r="F27" s="73"/>
      <c r="G27" s="73"/>
      <c r="H27" s="865">
        <v>2</v>
      </c>
      <c r="I27" s="73" t="s">
        <v>101</v>
      </c>
      <c r="J27" s="73"/>
      <c r="K27" s="73" t="s">
        <v>46</v>
      </c>
      <c r="L27" s="73"/>
      <c r="M27" s="73" t="s">
        <v>46</v>
      </c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125"/>
      <c r="BR27" s="76">
        <f t="shared" si="3"/>
        <v>2</v>
      </c>
      <c r="BS27" s="77">
        <f t="shared" si="4"/>
        <v>0</v>
      </c>
      <c r="BT27" s="77">
        <f t="shared" si="5"/>
        <v>4</v>
      </c>
    </row>
    <row r="28" spans="1:72" ht="17.25" customHeight="1">
      <c r="A28" s="139" t="s">
        <v>91</v>
      </c>
      <c r="B28" s="137" t="s">
        <v>92</v>
      </c>
      <c r="C28" s="74" t="s">
        <v>46</v>
      </c>
      <c r="D28" s="70">
        <v>4</v>
      </c>
      <c r="E28" s="70" t="s">
        <v>46</v>
      </c>
      <c r="F28" s="70" t="s">
        <v>46</v>
      </c>
      <c r="G28" s="70" t="s">
        <v>36</v>
      </c>
      <c r="H28" s="859" t="s">
        <v>46</v>
      </c>
      <c r="I28" s="70" t="s">
        <v>37</v>
      </c>
      <c r="J28" s="70"/>
      <c r="K28" s="70">
        <v>4</v>
      </c>
      <c r="L28" s="70"/>
      <c r="M28" s="70" t="s">
        <v>46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97"/>
      <c r="BR28" s="76">
        <f t="shared" si="3"/>
        <v>4</v>
      </c>
      <c r="BS28" s="77">
        <f t="shared" si="4"/>
        <v>0</v>
      </c>
      <c r="BT28" s="77">
        <f t="shared" si="5"/>
        <v>5</v>
      </c>
    </row>
    <row r="29" spans="1:72" ht="15.75">
      <c r="A29" s="165" t="s">
        <v>93</v>
      </c>
      <c r="B29" s="165" t="s">
        <v>94</v>
      </c>
      <c r="BR29" s="127">
        <f>IFERROR(AVERAGE(BR5:BR28),"")</f>
        <v>2.9927536231884062</v>
      </c>
      <c r="BS29" s="128">
        <f>SUM(BS5:BS28)</f>
        <v>1</v>
      </c>
      <c r="BT29" s="128">
        <f>SUM(BT5:BT28)</f>
        <v>73</v>
      </c>
    </row>
    <row r="30" spans="1:72" ht="15.75">
      <c r="A30" s="866" t="s">
        <v>478</v>
      </c>
      <c r="B30" s="866" t="s">
        <v>479</v>
      </c>
    </row>
    <row r="31" spans="1:72" ht="15.75">
      <c r="A31" s="866" t="s">
        <v>270</v>
      </c>
      <c r="B31" s="866" t="s">
        <v>480</v>
      </c>
    </row>
    <row r="32" spans="1:72" ht="15.75">
      <c r="A32" s="867" t="s">
        <v>481</v>
      </c>
      <c r="B32" s="867" t="s">
        <v>482</v>
      </c>
    </row>
    <row r="33" spans="1:2" ht="15.75">
      <c r="A33" s="867" t="s">
        <v>483</v>
      </c>
      <c r="B33" s="867" t="s">
        <v>482</v>
      </c>
    </row>
    <row r="34" spans="1:2" ht="15.75">
      <c r="A34" s="137" t="s">
        <v>484</v>
      </c>
      <c r="B34" s="853" t="s">
        <v>485</v>
      </c>
    </row>
    <row r="35" spans="1:2" ht="15.75">
      <c r="A35" s="868" t="s">
        <v>465</v>
      </c>
      <c r="B35" s="869" t="s">
        <v>486</v>
      </c>
    </row>
    <row r="36" spans="1:2" ht="15.75">
      <c r="A36" s="870" t="s">
        <v>137</v>
      </c>
      <c r="B36" s="871" t="s">
        <v>487</v>
      </c>
    </row>
    <row r="37" spans="1:2" ht="15.75">
      <c r="A37" s="871" t="s">
        <v>476</v>
      </c>
      <c r="B37" s="871" t="s">
        <v>488</v>
      </c>
    </row>
    <row r="38" spans="1:2" ht="15.75">
      <c r="A38" s="447" t="s">
        <v>489</v>
      </c>
      <c r="B38" s="447" t="s">
        <v>490</v>
      </c>
    </row>
    <row r="39" spans="1:2" ht="15.75">
      <c r="A39" s="871" t="s">
        <v>491</v>
      </c>
      <c r="B39" s="871" t="s">
        <v>492</v>
      </c>
    </row>
    <row r="40" spans="1:2" ht="15.75">
      <c r="A40" s="137"/>
      <c r="B40" s="137"/>
    </row>
    <row r="41" spans="1:2">
      <c r="A41" s="166"/>
      <c r="B41" s="166"/>
    </row>
    <row r="42" spans="1:2">
      <c r="A42" s="166"/>
      <c r="B42" s="166"/>
    </row>
    <row r="43" spans="1:2">
      <c r="A43" s="166"/>
      <c r="B43" s="166"/>
    </row>
    <row r="44" spans="1:2">
      <c r="A44" s="166"/>
      <c r="B44" s="166"/>
    </row>
    <row r="45" spans="1:2">
      <c r="A45" s="166"/>
      <c r="B45" s="166"/>
    </row>
    <row r="46" spans="1:2">
      <c r="A46" s="166"/>
      <c r="B46" s="166"/>
    </row>
    <row r="47" spans="1:2">
      <c r="A47" s="166"/>
      <c r="B47" s="166"/>
    </row>
    <row r="48" spans="1:2">
      <c r="A48" s="166"/>
      <c r="B48" s="166"/>
    </row>
    <row r="49" spans="1:2">
      <c r="A49" s="166"/>
      <c r="B49" s="166"/>
    </row>
    <row r="50" spans="1:2">
      <c r="A50" s="166"/>
      <c r="B50" s="166"/>
    </row>
    <row r="51" spans="1:2">
      <c r="A51" s="166"/>
      <c r="B51" s="166"/>
    </row>
    <row r="52" spans="1:2">
      <c r="A52" s="166"/>
      <c r="B52" s="166"/>
    </row>
    <row r="53" spans="1:2">
      <c r="A53" s="166"/>
      <c r="B53" s="166"/>
    </row>
    <row r="54" spans="1:2">
      <c r="A54" s="166"/>
      <c r="B54" s="166"/>
    </row>
    <row r="55" spans="1:2">
      <c r="A55" s="166"/>
      <c r="B55" s="166"/>
    </row>
    <row r="56" spans="1:2">
      <c r="A56" s="166"/>
      <c r="B56" s="166"/>
    </row>
    <row r="57" spans="1:2">
      <c r="A57" s="166"/>
      <c r="B57" s="166"/>
    </row>
    <row r="58" spans="1:2">
      <c r="A58" s="166"/>
      <c r="B58" s="166"/>
    </row>
    <row r="59" spans="1:2">
      <c r="A59" s="166"/>
      <c r="B59" s="166"/>
    </row>
    <row r="60" spans="1:2">
      <c r="A60" s="166"/>
      <c r="B60" s="166"/>
    </row>
    <row r="61" spans="1:2">
      <c r="A61" s="166"/>
      <c r="B61" s="166"/>
    </row>
    <row r="62" spans="1:2">
      <c r="A62" s="166"/>
      <c r="B62" s="166"/>
    </row>
    <row r="63" spans="1:2">
      <c r="A63" s="166"/>
      <c r="B63" s="166"/>
    </row>
    <row r="64" spans="1:2">
      <c r="A64" s="166"/>
      <c r="B64" s="166"/>
    </row>
    <row r="65" spans="1:2">
      <c r="A65" s="166"/>
      <c r="B65" s="166"/>
    </row>
    <row r="66" spans="1:2">
      <c r="A66" s="166"/>
      <c r="B66" s="166"/>
    </row>
  </sheetData>
  <mergeCells count="10">
    <mergeCell ref="BS3:BT3"/>
    <mergeCell ref="A1:B1"/>
    <mergeCell ref="C1:BP1"/>
    <mergeCell ref="A2:B2"/>
    <mergeCell ref="C2:BP2"/>
    <mergeCell ref="A3:A4"/>
    <mergeCell ref="C3:E3"/>
    <mergeCell ref="F3:I3"/>
    <mergeCell ref="J3:L3"/>
    <mergeCell ref="M3:N3"/>
  </mergeCells>
  <conditionalFormatting sqref="BT5:BT28">
    <cfRule type="cellIs" dxfId="40" priority="2" operator="greaterThan">
      <formula>0</formula>
    </cfRule>
  </conditionalFormatting>
  <conditionalFormatting sqref="BR5:BR29">
    <cfRule type="cellIs" dxfId="39" priority="1" operator="lessThan">
      <formula>3</formula>
    </cfRule>
  </conditionalFormatting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66"/>
  <sheetViews>
    <sheetView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customWidth="1"/>
    <col min="2" max="2" width="34.44140625" customWidth="1"/>
    <col min="3" max="54" width="2.77734375" customWidth="1"/>
    <col min="55" max="55" width="10.6640625" customWidth="1"/>
    <col min="56" max="57" width="8.109375" customWidth="1"/>
  </cols>
  <sheetData>
    <row r="1" spans="1:57" ht="27.75">
      <c r="A1" s="1277" t="s">
        <v>38</v>
      </c>
      <c r="B1" s="1277"/>
      <c r="C1" s="1276" t="s">
        <v>22</v>
      </c>
      <c r="D1" s="1276"/>
      <c r="E1" s="1276"/>
      <c r="F1" s="1276"/>
      <c r="G1" s="1276"/>
      <c r="H1" s="1276"/>
      <c r="I1" s="1276"/>
      <c r="J1" s="1276"/>
      <c r="K1" s="1276"/>
      <c r="L1" s="1276"/>
      <c r="M1" s="1276"/>
      <c r="N1" s="1276"/>
      <c r="O1" s="1276"/>
      <c r="P1" s="1276"/>
      <c r="Q1" s="1276"/>
      <c r="R1" s="1276"/>
      <c r="S1" s="1276"/>
      <c r="T1" s="1276"/>
      <c r="U1" s="1276"/>
      <c r="V1" s="1276"/>
      <c r="W1" s="1276"/>
      <c r="X1" s="1276"/>
      <c r="Y1" s="1276"/>
      <c r="Z1" s="1276"/>
      <c r="AA1" s="1276"/>
      <c r="AB1" s="1276"/>
      <c r="AC1" s="1276"/>
      <c r="AD1" s="1276"/>
      <c r="AE1" s="1276"/>
      <c r="AF1" s="1276"/>
      <c r="AG1" s="1276"/>
      <c r="AH1" s="1276"/>
      <c r="AI1" s="1276"/>
      <c r="AJ1" s="1276"/>
      <c r="AK1" s="1276"/>
      <c r="AL1" s="1276"/>
      <c r="AM1" s="1276"/>
      <c r="AN1" s="1276"/>
      <c r="AO1" s="1276"/>
      <c r="AP1" s="1276"/>
      <c r="AQ1" s="1276"/>
      <c r="AR1" s="1276"/>
      <c r="AS1" s="1276"/>
      <c r="AT1" s="1276"/>
      <c r="AU1" s="1276"/>
      <c r="AV1" s="1276"/>
      <c r="AW1" s="1276"/>
      <c r="AX1" s="1276"/>
      <c r="AY1" s="1276"/>
      <c r="AZ1" s="1276"/>
      <c r="BA1" s="1276"/>
      <c r="BB1" s="1276"/>
    </row>
    <row r="2" spans="1:57" ht="27.75">
      <c r="A2" s="1277" t="s">
        <v>39</v>
      </c>
      <c r="B2" s="1277"/>
      <c r="C2" s="1277"/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1277"/>
      <c r="AD2" s="1277"/>
      <c r="AE2" s="1277"/>
      <c r="AF2" s="1277"/>
      <c r="AG2" s="1277"/>
      <c r="AH2" s="1277"/>
      <c r="AI2" s="1277"/>
      <c r="AJ2" s="1277"/>
      <c r="AK2" s="1277"/>
      <c r="AL2" s="1277"/>
      <c r="AM2" s="1277"/>
      <c r="AN2" s="1277"/>
      <c r="AO2" s="1277"/>
      <c r="AP2" s="1277"/>
      <c r="AQ2" s="1277"/>
      <c r="AR2" s="1277"/>
      <c r="AS2" s="1277"/>
      <c r="AT2" s="1277"/>
      <c r="AU2" s="1277"/>
      <c r="AV2" s="1277"/>
      <c r="AW2" s="1277"/>
      <c r="AX2" s="1277"/>
      <c r="AY2" s="1277"/>
      <c r="AZ2" s="1277"/>
      <c r="BA2" s="1277"/>
      <c r="BB2" s="1277"/>
      <c r="BC2" s="32"/>
      <c r="BD2" s="32"/>
      <c r="BE2" s="32"/>
    </row>
    <row r="3" spans="1:57" ht="15.75">
      <c r="A3" s="1281" t="s">
        <v>41</v>
      </c>
      <c r="B3" s="129" t="s">
        <v>42</v>
      </c>
      <c r="C3" s="130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45"/>
      <c r="BD3" s="1278" t="s">
        <v>0</v>
      </c>
      <c r="BE3" s="1279"/>
    </row>
    <row r="4" spans="1:57" ht="15.75">
      <c r="A4" s="1282"/>
      <c r="B4" s="132" t="s">
        <v>43</v>
      </c>
      <c r="C4" s="133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45" t="s">
        <v>33</v>
      </c>
      <c r="BD4" s="60" t="s">
        <v>5</v>
      </c>
      <c r="BE4" s="60" t="s">
        <v>6</v>
      </c>
    </row>
    <row r="5" spans="1:57" ht="16.5" customHeight="1">
      <c r="A5" s="136" t="s">
        <v>44</v>
      </c>
      <c r="B5" s="137" t="s">
        <v>45</v>
      </c>
      <c r="C5" s="74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322"/>
      <c r="R5" s="70"/>
      <c r="S5" s="322"/>
      <c r="T5" s="322"/>
      <c r="U5" s="322"/>
      <c r="V5" s="322"/>
      <c r="W5" s="322"/>
      <c r="X5" s="322"/>
      <c r="Y5" s="322"/>
      <c r="Z5" s="322"/>
      <c r="AA5" s="322"/>
      <c r="AB5" s="322"/>
      <c r="AC5" s="322"/>
      <c r="AD5" s="322"/>
      <c r="AE5" s="322"/>
      <c r="AF5" s="322"/>
      <c r="AG5" s="322"/>
      <c r="AH5" s="322"/>
      <c r="AI5" s="322"/>
      <c r="AJ5" s="322"/>
      <c r="AK5" s="322"/>
      <c r="AL5" s="322"/>
      <c r="AM5" s="322"/>
      <c r="AN5" s="322"/>
      <c r="AO5" s="322"/>
      <c r="AP5" s="322"/>
      <c r="AQ5" s="322"/>
      <c r="AR5" s="322"/>
      <c r="AS5" s="322"/>
      <c r="AT5" s="322"/>
      <c r="AU5" s="322"/>
      <c r="AV5" s="322"/>
      <c r="AW5" s="322"/>
      <c r="AX5" s="322"/>
      <c r="AY5" s="322"/>
      <c r="AZ5" s="322"/>
      <c r="BA5" s="322"/>
      <c r="BB5" s="322"/>
      <c r="BC5" s="76" t="str">
        <f t="shared" ref="BC5:BC9" si="0">IFERROR(AVERAGE(C5:BB5),"Нет оценок")</f>
        <v>Нет оценок</v>
      </c>
      <c r="BD5" s="77">
        <f t="shared" ref="BD5:BD9" si="1">COUNTIF(C5:BB5,"н/у")</f>
        <v>0</v>
      </c>
      <c r="BE5" s="77">
        <f t="shared" ref="BE5:BE9" si="2">COUNTIF(C5:BB5,"н")</f>
        <v>0</v>
      </c>
    </row>
    <row r="6" spans="1:57" ht="16.5" customHeight="1">
      <c r="A6" s="139" t="s">
        <v>49</v>
      </c>
      <c r="B6" s="140" t="s">
        <v>50</v>
      </c>
      <c r="C6" s="108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327"/>
      <c r="R6" s="96"/>
      <c r="S6" s="327"/>
      <c r="T6" s="327"/>
      <c r="U6" s="327"/>
      <c r="V6" s="327"/>
      <c r="W6" s="327"/>
      <c r="X6" s="327"/>
      <c r="Y6" s="327"/>
      <c r="Z6" s="327"/>
      <c r="AA6" s="327"/>
      <c r="AB6" s="327"/>
      <c r="AC6" s="327"/>
      <c r="AD6" s="327"/>
      <c r="AE6" s="327"/>
      <c r="AF6" s="327"/>
      <c r="AG6" s="327"/>
      <c r="AH6" s="327"/>
      <c r="AI6" s="327"/>
      <c r="AJ6" s="327"/>
      <c r="AK6" s="327"/>
      <c r="AL6" s="327"/>
      <c r="AM6" s="327"/>
      <c r="AN6" s="327"/>
      <c r="AO6" s="327"/>
      <c r="AP6" s="327"/>
      <c r="AQ6" s="327"/>
      <c r="AR6" s="327"/>
      <c r="AS6" s="327"/>
      <c r="AT6" s="327"/>
      <c r="AU6" s="327"/>
      <c r="AV6" s="327"/>
      <c r="AW6" s="327"/>
      <c r="AX6" s="327"/>
      <c r="AY6" s="327"/>
      <c r="AZ6" s="327"/>
      <c r="BA6" s="327"/>
      <c r="BB6" s="327"/>
      <c r="BC6" s="76" t="str">
        <f t="shared" si="0"/>
        <v>Нет оценок</v>
      </c>
      <c r="BD6" s="77">
        <f t="shared" si="1"/>
        <v>0</v>
      </c>
      <c r="BE6" s="77">
        <f t="shared" si="2"/>
        <v>0</v>
      </c>
    </row>
    <row r="7" spans="1:57" ht="16.5" customHeight="1">
      <c r="A7" s="204" t="s">
        <v>51</v>
      </c>
      <c r="B7" s="137" t="s">
        <v>52</v>
      </c>
      <c r="C7" s="74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322"/>
      <c r="R7" s="70"/>
      <c r="S7" s="322"/>
      <c r="T7" s="322"/>
      <c r="U7" s="322"/>
      <c r="V7" s="322"/>
      <c r="W7" s="322"/>
      <c r="X7" s="322"/>
      <c r="Y7" s="322"/>
      <c r="Z7" s="322"/>
      <c r="AA7" s="322"/>
      <c r="AB7" s="322"/>
      <c r="AC7" s="322"/>
      <c r="AD7" s="322"/>
      <c r="AE7" s="322"/>
      <c r="AF7" s="322"/>
      <c r="AG7" s="322"/>
      <c r="AH7" s="322"/>
      <c r="AI7" s="322"/>
      <c r="AJ7" s="322"/>
      <c r="AK7" s="322"/>
      <c r="AL7" s="322"/>
      <c r="AM7" s="322"/>
      <c r="AN7" s="322"/>
      <c r="AO7" s="322"/>
      <c r="AP7" s="322"/>
      <c r="AQ7" s="322"/>
      <c r="AR7" s="322"/>
      <c r="AS7" s="322"/>
      <c r="AT7" s="322"/>
      <c r="AU7" s="322"/>
      <c r="AV7" s="322"/>
      <c r="AW7" s="322"/>
      <c r="AX7" s="322"/>
      <c r="AY7" s="322"/>
      <c r="AZ7" s="322"/>
      <c r="BA7" s="322"/>
      <c r="BB7" s="322"/>
      <c r="BC7" s="76" t="str">
        <f t="shared" si="0"/>
        <v>Нет оценок</v>
      </c>
      <c r="BD7" s="77">
        <f t="shared" si="1"/>
        <v>0</v>
      </c>
      <c r="BE7" s="77">
        <f t="shared" si="2"/>
        <v>0</v>
      </c>
    </row>
    <row r="8" spans="1:57" ht="16.5" customHeight="1">
      <c r="A8" s="144" t="s">
        <v>53</v>
      </c>
      <c r="B8" s="137" t="s">
        <v>54</v>
      </c>
      <c r="C8" s="74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322"/>
      <c r="R8" s="70"/>
      <c r="S8" s="322"/>
      <c r="T8" s="322"/>
      <c r="U8" s="322"/>
      <c r="V8" s="322"/>
      <c r="W8" s="322"/>
      <c r="X8" s="322"/>
      <c r="Y8" s="322"/>
      <c r="Z8" s="322"/>
      <c r="AA8" s="322"/>
      <c r="AB8" s="322"/>
      <c r="AC8" s="322"/>
      <c r="AD8" s="322"/>
      <c r="AE8" s="322"/>
      <c r="AF8" s="322"/>
      <c r="AG8" s="322"/>
      <c r="AH8" s="322"/>
      <c r="AI8" s="322"/>
      <c r="AJ8" s="322"/>
      <c r="AK8" s="322"/>
      <c r="AL8" s="322"/>
      <c r="AM8" s="322"/>
      <c r="AN8" s="322"/>
      <c r="AO8" s="322"/>
      <c r="AP8" s="322"/>
      <c r="AQ8" s="322"/>
      <c r="AR8" s="322"/>
      <c r="AS8" s="322"/>
      <c r="AT8" s="322"/>
      <c r="AU8" s="322"/>
      <c r="AV8" s="322"/>
      <c r="AW8" s="322"/>
      <c r="AX8" s="322"/>
      <c r="AY8" s="322"/>
      <c r="AZ8" s="322"/>
      <c r="BA8" s="322"/>
      <c r="BB8" s="322"/>
      <c r="BC8" s="76" t="str">
        <f t="shared" si="0"/>
        <v>Нет оценок</v>
      </c>
      <c r="BD8" s="77">
        <f t="shared" si="1"/>
        <v>0</v>
      </c>
      <c r="BE8" s="77">
        <f t="shared" si="2"/>
        <v>0</v>
      </c>
    </row>
    <row r="9" spans="1:57" ht="16.5" customHeight="1">
      <c r="A9" s="146" t="s">
        <v>55</v>
      </c>
      <c r="B9" s="147" t="s">
        <v>56</v>
      </c>
      <c r="C9" s="105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76" t="str">
        <f t="shared" si="0"/>
        <v>Нет оценок</v>
      </c>
      <c r="BD9" s="77">
        <f t="shared" si="1"/>
        <v>0</v>
      </c>
      <c r="BE9" s="77">
        <f t="shared" si="2"/>
        <v>0</v>
      </c>
    </row>
    <row r="10" spans="1:57" ht="16.5" customHeight="1">
      <c r="A10" s="149" t="s">
        <v>57</v>
      </c>
      <c r="B10" s="150" t="s">
        <v>58</v>
      </c>
      <c r="C10" s="108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76" t="str">
        <f t="shared" ref="BC10:BC28" si="3">IFERROR(AVERAGE(C10:BB10),"Нет оценок")</f>
        <v>Нет оценок</v>
      </c>
      <c r="BD10" s="77">
        <f t="shared" ref="BD10:BD28" si="4">COUNTIF(C10:BB10,"н/у")</f>
        <v>0</v>
      </c>
      <c r="BE10" s="77">
        <f t="shared" ref="BE10:BE28" si="5">COUNTIF(C10:BB10,"н")</f>
        <v>0</v>
      </c>
    </row>
    <row r="11" spans="1:57" ht="16.5" customHeight="1">
      <c r="A11" s="144" t="s">
        <v>59</v>
      </c>
      <c r="B11" s="137" t="s">
        <v>60</v>
      </c>
      <c r="C11" s="74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6" t="str">
        <f t="shared" si="3"/>
        <v>Нет оценок</v>
      </c>
      <c r="BD11" s="77">
        <f t="shared" si="4"/>
        <v>0</v>
      </c>
      <c r="BE11" s="77">
        <f t="shared" si="5"/>
        <v>0</v>
      </c>
    </row>
    <row r="12" spans="1:57" ht="16.5" customHeight="1">
      <c r="A12" s="144" t="s">
        <v>61</v>
      </c>
      <c r="B12" s="137" t="s">
        <v>62</v>
      </c>
      <c r="C12" s="74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6" t="str">
        <f t="shared" si="3"/>
        <v>Нет оценок</v>
      </c>
      <c r="BD12" s="77">
        <f t="shared" si="4"/>
        <v>0</v>
      </c>
      <c r="BE12" s="77">
        <f t="shared" si="5"/>
        <v>0</v>
      </c>
    </row>
    <row r="13" spans="1:57" ht="16.5" customHeight="1">
      <c r="A13" s="144" t="s">
        <v>63</v>
      </c>
      <c r="B13" s="150" t="s">
        <v>64</v>
      </c>
      <c r="C13" s="108"/>
      <c r="D13" s="96"/>
      <c r="E13" s="96"/>
      <c r="F13" s="96"/>
      <c r="G13" s="96"/>
      <c r="H13" s="96"/>
      <c r="I13" s="96"/>
      <c r="J13" s="96"/>
      <c r="K13" s="238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76" t="str">
        <f t="shared" si="3"/>
        <v>Нет оценок</v>
      </c>
      <c r="BD13" s="77">
        <f t="shared" si="4"/>
        <v>0</v>
      </c>
      <c r="BE13" s="77">
        <f t="shared" si="5"/>
        <v>0</v>
      </c>
    </row>
    <row r="14" spans="1:57" ht="16.5" customHeight="1">
      <c r="A14" s="146" t="s">
        <v>65</v>
      </c>
      <c r="B14" s="151" t="s">
        <v>66</v>
      </c>
      <c r="C14" s="101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76" t="str">
        <f t="shared" si="3"/>
        <v>Нет оценок</v>
      </c>
      <c r="BD14" s="77">
        <f t="shared" si="4"/>
        <v>0</v>
      </c>
      <c r="BE14" s="77">
        <f t="shared" si="5"/>
        <v>0</v>
      </c>
    </row>
    <row r="15" spans="1:57" ht="16.5" customHeight="1">
      <c r="A15" s="149" t="s">
        <v>67</v>
      </c>
      <c r="B15" s="150" t="s">
        <v>68</v>
      </c>
      <c r="C15" s="108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76" t="str">
        <f t="shared" si="3"/>
        <v>Нет оценок</v>
      </c>
      <c r="BD15" s="77">
        <f t="shared" si="4"/>
        <v>0</v>
      </c>
      <c r="BE15" s="77">
        <f t="shared" si="5"/>
        <v>0</v>
      </c>
    </row>
    <row r="16" spans="1:57" ht="16.5" customHeight="1">
      <c r="A16" s="144" t="s">
        <v>69</v>
      </c>
      <c r="B16" s="137" t="s">
        <v>70</v>
      </c>
      <c r="C16" s="74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6" t="str">
        <f t="shared" si="3"/>
        <v>Нет оценок</v>
      </c>
      <c r="BD16" s="77">
        <f t="shared" si="4"/>
        <v>0</v>
      </c>
      <c r="BE16" s="77">
        <f t="shared" si="5"/>
        <v>0</v>
      </c>
    </row>
    <row r="17" spans="1:57" ht="16.5" customHeight="1">
      <c r="A17" s="144" t="s">
        <v>71</v>
      </c>
      <c r="B17" s="137" t="s">
        <v>72</v>
      </c>
      <c r="C17" s="74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6" t="str">
        <f t="shared" si="3"/>
        <v>Нет оценок</v>
      </c>
      <c r="BD17" s="77">
        <f t="shared" si="4"/>
        <v>0</v>
      </c>
      <c r="BE17" s="77">
        <f t="shared" si="5"/>
        <v>0</v>
      </c>
    </row>
    <row r="18" spans="1:57" ht="16.5" customHeight="1">
      <c r="A18" s="144" t="s">
        <v>73</v>
      </c>
      <c r="B18" s="150" t="s">
        <v>74</v>
      </c>
      <c r="C18" s="108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76" t="str">
        <f t="shared" si="3"/>
        <v>Нет оценок</v>
      </c>
      <c r="BD18" s="77">
        <f t="shared" si="4"/>
        <v>0</v>
      </c>
      <c r="BE18" s="77">
        <f t="shared" si="5"/>
        <v>0</v>
      </c>
    </row>
    <row r="19" spans="1:57" ht="16.5" customHeight="1">
      <c r="A19" s="146" t="s">
        <v>75</v>
      </c>
      <c r="B19" s="151" t="s">
        <v>76</v>
      </c>
      <c r="C19" s="101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76" t="str">
        <f t="shared" si="3"/>
        <v>Нет оценок</v>
      </c>
      <c r="BD19" s="77">
        <f t="shared" si="4"/>
        <v>0</v>
      </c>
      <c r="BE19" s="77">
        <f t="shared" si="5"/>
        <v>0</v>
      </c>
    </row>
    <row r="20" spans="1:57" ht="16.5" customHeight="1">
      <c r="A20" s="149" t="s">
        <v>77</v>
      </c>
      <c r="B20" s="150" t="s">
        <v>78</v>
      </c>
      <c r="C20" s="108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76" t="str">
        <f t="shared" si="3"/>
        <v>Нет оценок</v>
      </c>
      <c r="BD20" s="77">
        <f t="shared" si="4"/>
        <v>0</v>
      </c>
      <c r="BE20" s="77">
        <f t="shared" si="5"/>
        <v>0</v>
      </c>
    </row>
    <row r="21" spans="1:57" ht="16.5" customHeight="1">
      <c r="A21" s="144" t="s">
        <v>79</v>
      </c>
      <c r="B21" s="137" t="s">
        <v>80</v>
      </c>
      <c r="C21" s="74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6" t="str">
        <f t="shared" si="3"/>
        <v>Нет оценок</v>
      </c>
      <c r="BD21" s="77">
        <f t="shared" si="4"/>
        <v>0</v>
      </c>
      <c r="BE21" s="77">
        <f t="shared" si="5"/>
        <v>0</v>
      </c>
    </row>
    <row r="22" spans="1:57" ht="16.5" customHeight="1">
      <c r="A22" s="144" t="s">
        <v>81</v>
      </c>
      <c r="B22" s="137" t="s">
        <v>82</v>
      </c>
      <c r="C22" s="74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6" t="str">
        <f t="shared" si="3"/>
        <v>Нет оценок</v>
      </c>
      <c r="BD22" s="77">
        <f t="shared" si="4"/>
        <v>0</v>
      </c>
      <c r="BE22" s="77">
        <f t="shared" si="5"/>
        <v>0</v>
      </c>
    </row>
    <row r="23" spans="1:57" ht="16.5" customHeight="1">
      <c r="A23" s="144" t="s">
        <v>83</v>
      </c>
      <c r="B23" s="150" t="s">
        <v>84</v>
      </c>
      <c r="C23" s="108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76" t="str">
        <f t="shared" si="3"/>
        <v>Нет оценок</v>
      </c>
      <c r="BD23" s="77">
        <f t="shared" si="4"/>
        <v>0</v>
      </c>
      <c r="BE23" s="77">
        <f t="shared" si="5"/>
        <v>0</v>
      </c>
    </row>
    <row r="24" spans="1:57" ht="16.5" customHeight="1">
      <c r="A24" s="154" t="s">
        <v>27</v>
      </c>
      <c r="B24" s="151" t="s">
        <v>85</v>
      </c>
      <c r="C24" s="101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76" t="str">
        <f t="shared" si="3"/>
        <v>Нет оценок</v>
      </c>
      <c r="BD24" s="77">
        <f t="shared" si="4"/>
        <v>0</v>
      </c>
      <c r="BE24" s="77">
        <f t="shared" si="5"/>
        <v>0</v>
      </c>
    </row>
    <row r="25" spans="1:57" ht="16.5" customHeight="1">
      <c r="A25" s="156" t="s">
        <v>86</v>
      </c>
      <c r="B25" s="150" t="s">
        <v>87</v>
      </c>
      <c r="C25" s="108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76" t="str">
        <f t="shared" si="3"/>
        <v>Нет оценок</v>
      </c>
      <c r="BD25" s="77">
        <f t="shared" si="4"/>
        <v>0</v>
      </c>
      <c r="BE25" s="77">
        <f t="shared" si="5"/>
        <v>0</v>
      </c>
    </row>
    <row r="26" spans="1:57" ht="16.5" hidden="1" customHeight="1">
      <c r="A26" s="139" t="s">
        <v>86</v>
      </c>
      <c r="B26" s="137" t="s">
        <v>88</v>
      </c>
      <c r="C26" s="74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6" t="str">
        <f t="shared" si="3"/>
        <v>Нет оценок</v>
      </c>
      <c r="BD26" s="77">
        <f t="shared" si="4"/>
        <v>0</v>
      </c>
      <c r="BE26" s="77">
        <f t="shared" si="5"/>
        <v>0</v>
      </c>
    </row>
    <row r="27" spans="1:57" ht="16.5" customHeight="1">
      <c r="A27" s="139" t="s">
        <v>89</v>
      </c>
      <c r="B27" s="137" t="s">
        <v>90</v>
      </c>
      <c r="C27" s="9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6" t="str">
        <f t="shared" si="3"/>
        <v>Нет оценок</v>
      </c>
      <c r="BD27" s="77">
        <f t="shared" si="4"/>
        <v>0</v>
      </c>
      <c r="BE27" s="77">
        <f t="shared" si="5"/>
        <v>0</v>
      </c>
    </row>
    <row r="28" spans="1:57" ht="16.5" customHeight="1">
      <c r="A28" s="139" t="s">
        <v>91</v>
      </c>
      <c r="B28" s="137" t="s">
        <v>92</v>
      </c>
      <c r="C28" s="74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6" t="str">
        <f t="shared" si="3"/>
        <v>Нет оценок</v>
      </c>
      <c r="BD28" s="77">
        <f t="shared" si="4"/>
        <v>0</v>
      </c>
      <c r="BE28" s="77">
        <f t="shared" si="5"/>
        <v>0</v>
      </c>
    </row>
    <row r="29" spans="1:57" ht="15.75">
      <c r="A29" s="165" t="s">
        <v>93</v>
      </c>
      <c r="B29" s="165" t="s">
        <v>94</v>
      </c>
      <c r="BC29" s="127" t="str">
        <f>IFERROR(AVERAGE(BC5:BC28),"")</f>
        <v/>
      </c>
      <c r="BD29" s="128">
        <f>SUM(BD5:BD28)</f>
        <v>0</v>
      </c>
      <c r="BE29" s="128">
        <f>SUM(BE5:BE28)</f>
        <v>0</v>
      </c>
    </row>
    <row r="30" spans="1:57">
      <c r="A30" s="166"/>
      <c r="B30" s="166"/>
    </row>
    <row r="31" spans="1:57">
      <c r="A31" s="166"/>
      <c r="B31" s="166"/>
    </row>
    <row r="32" spans="1:57">
      <c r="A32" s="166"/>
      <c r="B32" s="166"/>
    </row>
    <row r="33" spans="1:2">
      <c r="A33" s="166"/>
      <c r="B33" s="166"/>
    </row>
    <row r="34" spans="1:2">
      <c r="A34" s="166"/>
      <c r="B34" s="166"/>
    </row>
    <row r="35" spans="1:2">
      <c r="A35" s="166"/>
      <c r="B35" s="166"/>
    </row>
    <row r="36" spans="1:2">
      <c r="A36" s="166"/>
      <c r="B36" s="166"/>
    </row>
    <row r="37" spans="1:2">
      <c r="A37" s="166"/>
      <c r="B37" s="166"/>
    </row>
    <row r="38" spans="1:2">
      <c r="A38" s="166"/>
      <c r="B38" s="166"/>
    </row>
    <row r="39" spans="1:2">
      <c r="A39" s="166"/>
      <c r="B39" s="166"/>
    </row>
    <row r="40" spans="1:2">
      <c r="A40" s="166"/>
      <c r="B40" s="166"/>
    </row>
    <row r="41" spans="1:2">
      <c r="A41" s="166"/>
      <c r="B41" s="166"/>
    </row>
    <row r="42" spans="1:2">
      <c r="A42" s="166"/>
      <c r="B42" s="166"/>
    </row>
    <row r="43" spans="1:2">
      <c r="A43" s="166"/>
      <c r="B43" s="166"/>
    </row>
    <row r="44" spans="1:2">
      <c r="A44" s="166"/>
      <c r="B44" s="166"/>
    </row>
    <row r="45" spans="1:2">
      <c r="A45" s="166"/>
      <c r="B45" s="166"/>
    </row>
    <row r="46" spans="1:2">
      <c r="A46" s="166"/>
      <c r="B46" s="166"/>
    </row>
    <row r="47" spans="1:2">
      <c r="A47" s="166"/>
      <c r="B47" s="166"/>
    </row>
    <row r="48" spans="1:2">
      <c r="A48" s="166"/>
      <c r="B48" s="166"/>
    </row>
    <row r="49" spans="1:2">
      <c r="A49" s="166"/>
      <c r="B49" s="166"/>
    </row>
    <row r="50" spans="1:2">
      <c r="A50" s="166"/>
      <c r="B50" s="166"/>
    </row>
    <row r="51" spans="1:2">
      <c r="A51" s="166"/>
      <c r="B51" s="166"/>
    </row>
    <row r="52" spans="1:2">
      <c r="A52" s="166"/>
      <c r="B52" s="166"/>
    </row>
    <row r="53" spans="1:2">
      <c r="A53" s="166"/>
      <c r="B53" s="166"/>
    </row>
    <row r="54" spans="1:2">
      <c r="A54" s="166"/>
      <c r="B54" s="166"/>
    </row>
    <row r="55" spans="1:2">
      <c r="A55" s="166"/>
      <c r="B55" s="166"/>
    </row>
    <row r="56" spans="1:2">
      <c r="A56" s="166"/>
      <c r="B56" s="166"/>
    </row>
    <row r="57" spans="1:2">
      <c r="A57" s="166"/>
      <c r="B57" s="166"/>
    </row>
    <row r="58" spans="1:2">
      <c r="A58" s="166"/>
      <c r="B58" s="166"/>
    </row>
    <row r="59" spans="1:2">
      <c r="A59" s="166"/>
      <c r="B59" s="166"/>
    </row>
    <row r="60" spans="1:2">
      <c r="A60" s="166"/>
      <c r="B60" s="166"/>
    </row>
    <row r="61" spans="1:2">
      <c r="A61" s="166"/>
      <c r="B61" s="166"/>
    </row>
    <row r="62" spans="1:2">
      <c r="A62" s="166"/>
      <c r="B62" s="166"/>
    </row>
    <row r="63" spans="1:2">
      <c r="A63" s="166"/>
      <c r="B63" s="166"/>
    </row>
    <row r="64" spans="1:2">
      <c r="A64" s="166"/>
      <c r="B64" s="166"/>
    </row>
    <row r="65" spans="1:2">
      <c r="A65" s="166"/>
      <c r="B65" s="166"/>
    </row>
    <row r="66" spans="1:2">
      <c r="A66" s="166"/>
      <c r="B66" s="166"/>
    </row>
  </sheetData>
  <mergeCells count="6">
    <mergeCell ref="BD3:BE3"/>
    <mergeCell ref="A1:B1"/>
    <mergeCell ref="C1:BB1"/>
    <mergeCell ref="A2:B2"/>
    <mergeCell ref="C2:BB2"/>
    <mergeCell ref="A3:A4"/>
  </mergeCells>
  <conditionalFormatting sqref="BE5:BE28">
    <cfRule type="cellIs" dxfId="38" priority="2" operator="greaterThan">
      <formula>0</formula>
    </cfRule>
  </conditionalFormatting>
  <conditionalFormatting sqref="BC5:BC29">
    <cfRule type="cellIs" dxfId="37" priority="1" operator="lessThan">
      <formula>3</formula>
    </cfRule>
  </conditionalFormatting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R66"/>
  <sheetViews>
    <sheetView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customWidth="1"/>
    <col min="2" max="2" width="34.44140625" customWidth="1"/>
    <col min="3" max="40" width="2.77734375" customWidth="1"/>
    <col min="41" max="41" width="6.6640625" customWidth="1"/>
    <col min="42" max="42" width="10.6640625" customWidth="1"/>
    <col min="43" max="44" width="8.109375" customWidth="1"/>
  </cols>
  <sheetData>
    <row r="1" spans="1:44" ht="27.75">
      <c r="A1" s="1277" t="s">
        <v>38</v>
      </c>
      <c r="B1" s="1277"/>
      <c r="C1" s="1276" t="s">
        <v>493</v>
      </c>
      <c r="D1" s="1276"/>
      <c r="E1" s="1276"/>
      <c r="F1" s="1276"/>
      <c r="G1" s="1276"/>
      <c r="H1" s="1276"/>
      <c r="I1" s="1276"/>
      <c r="J1" s="1276"/>
      <c r="K1" s="1276"/>
      <c r="L1" s="1276"/>
      <c r="M1" s="1276"/>
      <c r="N1" s="1276"/>
      <c r="O1" s="1276"/>
      <c r="P1" s="1276"/>
      <c r="Q1" s="1276"/>
      <c r="R1" s="1276"/>
      <c r="S1" s="1276"/>
      <c r="T1" s="1276"/>
      <c r="U1" s="1276"/>
      <c r="V1" s="1276"/>
      <c r="W1" s="1276"/>
      <c r="X1" s="1276"/>
      <c r="Y1" s="1276"/>
      <c r="Z1" s="1276"/>
      <c r="AA1" s="1276"/>
      <c r="AB1" s="1276"/>
      <c r="AC1" s="1276"/>
      <c r="AD1" s="1276"/>
      <c r="AE1" s="1276"/>
      <c r="AF1" s="1276"/>
      <c r="AG1" s="1276"/>
      <c r="AH1" s="1276"/>
      <c r="AI1" s="1276"/>
      <c r="AJ1" s="1276"/>
      <c r="AK1" s="1276"/>
      <c r="AL1" s="1276"/>
      <c r="AM1" s="1276"/>
      <c r="AN1" s="1276"/>
      <c r="AO1" s="29"/>
    </row>
    <row r="2" spans="1:44" ht="27.75">
      <c r="A2" s="1277" t="s">
        <v>39</v>
      </c>
      <c r="B2" s="1277"/>
      <c r="C2" s="1277"/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1277"/>
      <c r="AD2" s="1277"/>
      <c r="AE2" s="1277"/>
      <c r="AF2" s="1277"/>
      <c r="AG2" s="1277"/>
      <c r="AH2" s="1277"/>
      <c r="AI2" s="1277"/>
      <c r="AJ2" s="1277"/>
      <c r="AK2" s="1277"/>
      <c r="AL2" s="1277"/>
      <c r="AM2" s="1277"/>
      <c r="AN2" s="1277"/>
      <c r="AO2" s="31"/>
      <c r="AP2" s="32"/>
      <c r="AQ2" s="32"/>
      <c r="AR2" s="32"/>
    </row>
    <row r="3" spans="1:44" ht="15.75">
      <c r="A3" s="1281" t="s">
        <v>41</v>
      </c>
      <c r="B3" s="129" t="s">
        <v>42</v>
      </c>
      <c r="C3" s="130">
        <v>2</v>
      </c>
      <c r="D3" s="872">
        <v>3</v>
      </c>
      <c r="E3" s="872">
        <v>3</v>
      </c>
      <c r="F3" s="872">
        <v>3</v>
      </c>
      <c r="G3" s="43">
        <v>3</v>
      </c>
      <c r="H3" s="40">
        <v>3</v>
      </c>
      <c r="I3" s="873">
        <v>4</v>
      </c>
      <c r="J3" s="872">
        <v>4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316" t="s">
        <v>207</v>
      </c>
      <c r="AP3" s="45"/>
      <c r="AQ3" s="1278" t="s">
        <v>0</v>
      </c>
      <c r="AR3" s="1279"/>
    </row>
    <row r="4" spans="1:44" ht="15.75">
      <c r="A4" s="1282"/>
      <c r="B4" s="132" t="s">
        <v>43</v>
      </c>
      <c r="C4" s="133">
        <v>16</v>
      </c>
      <c r="D4" s="874">
        <v>3</v>
      </c>
      <c r="E4" s="874">
        <v>4</v>
      </c>
      <c r="F4" s="874">
        <v>7</v>
      </c>
      <c r="G4" s="58">
        <v>12</v>
      </c>
      <c r="H4" s="55">
        <v>30</v>
      </c>
      <c r="I4" s="875">
        <v>4</v>
      </c>
      <c r="J4" s="874">
        <v>7</v>
      </c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318" t="s">
        <v>32</v>
      </c>
      <c r="AP4" s="45" t="s">
        <v>33</v>
      </c>
      <c r="AQ4" s="60" t="s">
        <v>5</v>
      </c>
      <c r="AR4" s="60" t="s">
        <v>6</v>
      </c>
    </row>
    <row r="5" spans="1:44" ht="16.5" customHeight="1">
      <c r="A5" s="136" t="s">
        <v>44</v>
      </c>
      <c r="B5" s="137" t="s">
        <v>45</v>
      </c>
      <c r="C5" s="74" t="s">
        <v>46</v>
      </c>
      <c r="D5" s="529"/>
      <c r="E5" s="529" t="s">
        <v>46</v>
      </c>
      <c r="F5" s="529" t="s">
        <v>46</v>
      </c>
      <c r="G5" s="70"/>
      <c r="H5" s="528" t="s">
        <v>46</v>
      </c>
      <c r="I5" s="876" t="s">
        <v>46</v>
      </c>
      <c r="J5" s="529" t="s">
        <v>46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618"/>
      <c r="AP5" s="76" t="str">
        <f t="shared" ref="AP5:AP9" si="0">IFERROR(AVERAGE(C5:AO5),"Нет оценок")</f>
        <v>Нет оценок</v>
      </c>
      <c r="AQ5" s="77">
        <f t="shared" ref="AQ5:AQ9" si="1">COUNTIF(C5:AO5,"н/у")</f>
        <v>0</v>
      </c>
      <c r="AR5" s="77">
        <f t="shared" ref="AR5:AR9" si="2">COUNTIF(C5:AO5,"н")</f>
        <v>6</v>
      </c>
    </row>
    <row r="6" spans="1:44" ht="16.5" customHeight="1">
      <c r="A6" s="139" t="s">
        <v>49</v>
      </c>
      <c r="B6" s="140" t="s">
        <v>50</v>
      </c>
      <c r="C6" s="108" t="s">
        <v>46</v>
      </c>
      <c r="D6" s="535">
        <v>3</v>
      </c>
      <c r="E6" s="535" t="s">
        <v>46</v>
      </c>
      <c r="F6" s="535"/>
      <c r="G6" s="96" t="s">
        <v>46</v>
      </c>
      <c r="H6" s="534"/>
      <c r="I6" s="877">
        <v>2</v>
      </c>
      <c r="J6" s="535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624"/>
      <c r="AP6" s="76">
        <f t="shared" si="0"/>
        <v>2.5</v>
      </c>
      <c r="AQ6" s="77">
        <f t="shared" si="1"/>
        <v>0</v>
      </c>
      <c r="AR6" s="77">
        <f t="shared" si="2"/>
        <v>3</v>
      </c>
    </row>
    <row r="7" spans="1:44" ht="16.5" customHeight="1">
      <c r="A7" s="204" t="s">
        <v>51</v>
      </c>
      <c r="B7" s="137" t="s">
        <v>52</v>
      </c>
      <c r="C7" s="74"/>
      <c r="D7" s="529">
        <v>5</v>
      </c>
      <c r="E7" s="529"/>
      <c r="F7" s="529"/>
      <c r="G7" s="70"/>
      <c r="H7" s="528"/>
      <c r="I7" s="876"/>
      <c r="J7" s="529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618"/>
      <c r="AP7" s="76">
        <f t="shared" si="0"/>
        <v>5</v>
      </c>
      <c r="AQ7" s="77">
        <f t="shared" si="1"/>
        <v>0</v>
      </c>
      <c r="AR7" s="77">
        <f t="shared" si="2"/>
        <v>0</v>
      </c>
    </row>
    <row r="8" spans="1:44" ht="16.5" customHeight="1">
      <c r="A8" s="144" t="s">
        <v>53</v>
      </c>
      <c r="B8" s="137" t="s">
        <v>54</v>
      </c>
      <c r="C8" s="74" t="s">
        <v>46</v>
      </c>
      <c r="D8" s="529"/>
      <c r="E8" s="529"/>
      <c r="F8" s="529"/>
      <c r="G8" s="70" t="s">
        <v>321</v>
      </c>
      <c r="H8" s="528"/>
      <c r="I8" s="876"/>
      <c r="J8" s="529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618"/>
      <c r="AP8" s="76" t="str">
        <f t="shared" si="0"/>
        <v>Нет оценок</v>
      </c>
      <c r="AQ8" s="77">
        <f t="shared" si="1"/>
        <v>0</v>
      </c>
      <c r="AR8" s="77">
        <f t="shared" si="2"/>
        <v>1</v>
      </c>
    </row>
    <row r="9" spans="1:44" ht="16.5" customHeight="1">
      <c r="A9" s="146" t="s">
        <v>55</v>
      </c>
      <c r="B9" s="147" t="s">
        <v>56</v>
      </c>
      <c r="C9" s="105"/>
      <c r="D9" s="542">
        <v>2</v>
      </c>
      <c r="E9" s="542" t="s">
        <v>46</v>
      </c>
      <c r="F9" s="542"/>
      <c r="G9" s="119" t="s">
        <v>37</v>
      </c>
      <c r="H9" s="541"/>
      <c r="I9" s="878">
        <v>2</v>
      </c>
      <c r="J9" s="542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642"/>
      <c r="AP9" s="76">
        <f t="shared" si="0"/>
        <v>2</v>
      </c>
      <c r="AQ9" s="77">
        <f t="shared" si="1"/>
        <v>0</v>
      </c>
      <c r="AR9" s="77">
        <f t="shared" si="2"/>
        <v>1</v>
      </c>
    </row>
    <row r="10" spans="1:44" ht="16.5" customHeight="1">
      <c r="A10" s="149" t="s">
        <v>57</v>
      </c>
      <c r="B10" s="150" t="s">
        <v>58</v>
      </c>
      <c r="C10" s="108"/>
      <c r="D10" s="535">
        <v>5</v>
      </c>
      <c r="E10" s="535"/>
      <c r="F10" s="535"/>
      <c r="G10" s="96"/>
      <c r="H10" s="534"/>
      <c r="I10" s="877"/>
      <c r="J10" s="535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643"/>
      <c r="AP10" s="76">
        <f t="shared" ref="AP10:AP28" si="3">IFERROR(AVERAGE(C10:AO10),"Нет оценок")</f>
        <v>5</v>
      </c>
      <c r="AQ10" s="77">
        <f t="shared" ref="AQ10:AQ28" si="4">COUNTIF(C10:AO10,"н/у")</f>
        <v>0</v>
      </c>
      <c r="AR10" s="77">
        <f t="shared" ref="AR10:AR28" si="5">COUNTIF(C10:AO10,"н")</f>
        <v>0</v>
      </c>
    </row>
    <row r="11" spans="1:44" ht="16.5" customHeight="1">
      <c r="A11" s="144" t="s">
        <v>59</v>
      </c>
      <c r="B11" s="137" t="s">
        <v>60</v>
      </c>
      <c r="C11" s="74" t="s">
        <v>46</v>
      </c>
      <c r="D11" s="529">
        <v>2</v>
      </c>
      <c r="E11" s="529"/>
      <c r="F11" s="529"/>
      <c r="G11" s="70"/>
      <c r="H11" s="528"/>
      <c r="I11" s="876" t="s">
        <v>46</v>
      </c>
      <c r="J11" s="529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645"/>
      <c r="AP11" s="76">
        <f t="shared" si="3"/>
        <v>2</v>
      </c>
      <c r="AQ11" s="77">
        <f t="shared" si="4"/>
        <v>0</v>
      </c>
      <c r="AR11" s="77">
        <f t="shared" si="5"/>
        <v>2</v>
      </c>
    </row>
    <row r="12" spans="1:44" ht="16.5" customHeight="1">
      <c r="A12" s="144" t="s">
        <v>61</v>
      </c>
      <c r="B12" s="137" t="s">
        <v>62</v>
      </c>
      <c r="C12" s="74"/>
      <c r="D12" s="529">
        <v>2</v>
      </c>
      <c r="E12" s="529"/>
      <c r="F12" s="529"/>
      <c r="G12" s="70"/>
      <c r="H12" s="528"/>
      <c r="I12" s="876"/>
      <c r="J12" s="529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645"/>
      <c r="AP12" s="76">
        <f t="shared" si="3"/>
        <v>2</v>
      </c>
      <c r="AQ12" s="77">
        <f t="shared" si="4"/>
        <v>0</v>
      </c>
      <c r="AR12" s="77">
        <f t="shared" si="5"/>
        <v>0</v>
      </c>
    </row>
    <row r="13" spans="1:44" ht="16.5" customHeight="1">
      <c r="A13" s="144" t="s">
        <v>63</v>
      </c>
      <c r="B13" s="150" t="s">
        <v>64</v>
      </c>
      <c r="C13" s="108" t="s">
        <v>46</v>
      </c>
      <c r="D13" s="535">
        <v>2</v>
      </c>
      <c r="E13" s="535"/>
      <c r="F13" s="535" t="s">
        <v>46</v>
      </c>
      <c r="G13" s="96" t="s">
        <v>321</v>
      </c>
      <c r="H13" s="534" t="s">
        <v>46</v>
      </c>
      <c r="I13" s="877"/>
      <c r="J13" s="535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643"/>
      <c r="AP13" s="76">
        <f t="shared" si="3"/>
        <v>2</v>
      </c>
      <c r="AQ13" s="77">
        <f t="shared" si="4"/>
        <v>0</v>
      </c>
      <c r="AR13" s="77">
        <f t="shared" si="5"/>
        <v>3</v>
      </c>
    </row>
    <row r="14" spans="1:44" ht="16.5" customHeight="1">
      <c r="A14" s="146" t="s">
        <v>65</v>
      </c>
      <c r="B14" s="151" t="s">
        <v>66</v>
      </c>
      <c r="C14" s="101"/>
      <c r="D14" s="551">
        <v>2</v>
      </c>
      <c r="E14" s="551"/>
      <c r="F14" s="551"/>
      <c r="G14" s="103"/>
      <c r="H14" s="550"/>
      <c r="I14" s="879"/>
      <c r="J14" s="551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654"/>
      <c r="AP14" s="76">
        <f t="shared" si="3"/>
        <v>2</v>
      </c>
      <c r="AQ14" s="77">
        <f t="shared" si="4"/>
        <v>0</v>
      </c>
      <c r="AR14" s="77">
        <f t="shared" si="5"/>
        <v>0</v>
      </c>
    </row>
    <row r="15" spans="1:44" ht="16.5" customHeight="1">
      <c r="A15" s="149" t="s">
        <v>67</v>
      </c>
      <c r="B15" s="150" t="s">
        <v>68</v>
      </c>
      <c r="C15" s="108"/>
      <c r="D15" s="535">
        <v>2</v>
      </c>
      <c r="E15" s="535"/>
      <c r="F15" s="535"/>
      <c r="G15" s="96" t="s">
        <v>321</v>
      </c>
      <c r="H15" s="534"/>
      <c r="I15" s="877"/>
      <c r="J15" s="535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643"/>
      <c r="AP15" s="76">
        <f t="shared" si="3"/>
        <v>2</v>
      </c>
      <c r="AQ15" s="77">
        <f t="shared" si="4"/>
        <v>0</v>
      </c>
      <c r="AR15" s="77">
        <f t="shared" si="5"/>
        <v>0</v>
      </c>
    </row>
    <row r="16" spans="1:44" ht="16.5" customHeight="1">
      <c r="A16" s="144" t="s">
        <v>69</v>
      </c>
      <c r="B16" s="137" t="s">
        <v>70</v>
      </c>
      <c r="C16" s="74"/>
      <c r="D16" s="529"/>
      <c r="E16" s="529"/>
      <c r="F16" s="529"/>
      <c r="G16" s="70"/>
      <c r="H16" s="528" t="s">
        <v>46</v>
      </c>
      <c r="I16" s="876"/>
      <c r="J16" s="529" t="s">
        <v>46</v>
      </c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645"/>
      <c r="AP16" s="76" t="str">
        <f t="shared" si="3"/>
        <v>Нет оценок</v>
      </c>
      <c r="AQ16" s="77">
        <f t="shared" si="4"/>
        <v>0</v>
      </c>
      <c r="AR16" s="77">
        <f t="shared" si="5"/>
        <v>2</v>
      </c>
    </row>
    <row r="17" spans="1:44" ht="16.5" customHeight="1">
      <c r="A17" s="144" t="s">
        <v>71</v>
      </c>
      <c r="B17" s="137" t="s">
        <v>72</v>
      </c>
      <c r="C17" s="74" t="s">
        <v>46</v>
      </c>
      <c r="D17" s="529">
        <v>2</v>
      </c>
      <c r="E17" s="529" t="s">
        <v>46</v>
      </c>
      <c r="F17" s="529"/>
      <c r="G17" s="70"/>
      <c r="H17" s="528" t="s">
        <v>46</v>
      </c>
      <c r="I17" s="876" t="s">
        <v>46</v>
      </c>
      <c r="J17" s="529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645"/>
      <c r="AP17" s="76">
        <f t="shared" si="3"/>
        <v>2</v>
      </c>
      <c r="AQ17" s="77">
        <f t="shared" si="4"/>
        <v>0</v>
      </c>
      <c r="AR17" s="77">
        <f t="shared" si="5"/>
        <v>4</v>
      </c>
    </row>
    <row r="18" spans="1:44" ht="16.5" customHeight="1">
      <c r="A18" s="144" t="s">
        <v>73</v>
      </c>
      <c r="B18" s="150" t="s">
        <v>74</v>
      </c>
      <c r="C18" s="108"/>
      <c r="D18" s="535">
        <v>2</v>
      </c>
      <c r="E18" s="535"/>
      <c r="F18" s="535"/>
      <c r="G18" s="96"/>
      <c r="H18" s="534"/>
      <c r="I18" s="877"/>
      <c r="J18" s="535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643"/>
      <c r="AP18" s="76">
        <f t="shared" si="3"/>
        <v>2</v>
      </c>
      <c r="AQ18" s="77">
        <f t="shared" si="4"/>
        <v>0</v>
      </c>
      <c r="AR18" s="77">
        <f t="shared" si="5"/>
        <v>0</v>
      </c>
    </row>
    <row r="19" spans="1:44" ht="16.5" customHeight="1">
      <c r="A19" s="146" t="s">
        <v>75</v>
      </c>
      <c r="B19" s="151" t="s">
        <v>76</v>
      </c>
      <c r="C19" s="101"/>
      <c r="D19" s="551">
        <v>2</v>
      </c>
      <c r="E19" s="551" t="s">
        <v>46</v>
      </c>
      <c r="F19" s="551"/>
      <c r="G19" s="103" t="s">
        <v>46</v>
      </c>
      <c r="H19" s="550"/>
      <c r="I19" s="879">
        <v>2</v>
      </c>
      <c r="J19" s="551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654"/>
      <c r="AP19" s="76">
        <f t="shared" si="3"/>
        <v>2</v>
      </c>
      <c r="AQ19" s="77">
        <f t="shared" si="4"/>
        <v>0</v>
      </c>
      <c r="AR19" s="77">
        <f t="shared" si="5"/>
        <v>2</v>
      </c>
    </row>
    <row r="20" spans="1:44" ht="16.5" customHeight="1">
      <c r="A20" s="149" t="s">
        <v>77</v>
      </c>
      <c r="B20" s="150" t="s">
        <v>78</v>
      </c>
      <c r="C20" s="108"/>
      <c r="D20" s="535"/>
      <c r="E20" s="535" t="s">
        <v>46</v>
      </c>
      <c r="F20" s="535"/>
      <c r="G20" s="96"/>
      <c r="H20" s="534"/>
      <c r="I20" s="877" t="s">
        <v>46</v>
      </c>
      <c r="J20" s="535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643"/>
      <c r="AP20" s="76" t="str">
        <f t="shared" si="3"/>
        <v>Нет оценок</v>
      </c>
      <c r="AQ20" s="77">
        <f t="shared" si="4"/>
        <v>0</v>
      </c>
      <c r="AR20" s="77">
        <f t="shared" si="5"/>
        <v>2</v>
      </c>
    </row>
    <row r="21" spans="1:44" ht="16.5" customHeight="1">
      <c r="A21" s="144" t="s">
        <v>79</v>
      </c>
      <c r="B21" s="137" t="s">
        <v>80</v>
      </c>
      <c r="C21" s="74"/>
      <c r="D21" s="529">
        <v>3</v>
      </c>
      <c r="E21" s="529"/>
      <c r="F21" s="529"/>
      <c r="G21" s="70" t="s">
        <v>46</v>
      </c>
      <c r="H21" s="528" t="s">
        <v>46</v>
      </c>
      <c r="I21" s="876">
        <v>2</v>
      </c>
      <c r="J21" s="529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645"/>
      <c r="AP21" s="76">
        <f t="shared" si="3"/>
        <v>2.5</v>
      </c>
      <c r="AQ21" s="77">
        <f t="shared" si="4"/>
        <v>0</v>
      </c>
      <c r="AR21" s="77">
        <f t="shared" si="5"/>
        <v>2</v>
      </c>
    </row>
    <row r="22" spans="1:44" ht="16.5" customHeight="1">
      <c r="A22" s="144" t="s">
        <v>81</v>
      </c>
      <c r="B22" s="137" t="s">
        <v>82</v>
      </c>
      <c r="C22" s="74"/>
      <c r="D22" s="529">
        <v>5</v>
      </c>
      <c r="E22" s="529"/>
      <c r="F22" s="529"/>
      <c r="G22" s="70" t="s">
        <v>46</v>
      </c>
      <c r="H22" s="70" t="s">
        <v>48</v>
      </c>
      <c r="I22" s="876"/>
      <c r="J22" s="529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645"/>
      <c r="AP22" s="76">
        <f t="shared" si="3"/>
        <v>5</v>
      </c>
      <c r="AQ22" s="77">
        <f t="shared" si="4"/>
        <v>1</v>
      </c>
      <c r="AR22" s="77">
        <f t="shared" si="5"/>
        <v>1</v>
      </c>
    </row>
    <row r="23" spans="1:44" ht="16.5" customHeight="1">
      <c r="A23" s="144" t="s">
        <v>83</v>
      </c>
      <c r="B23" s="150" t="s">
        <v>84</v>
      </c>
      <c r="C23" s="108"/>
      <c r="D23" s="535"/>
      <c r="E23" s="535" t="s">
        <v>46</v>
      </c>
      <c r="F23" s="535" t="s">
        <v>46</v>
      </c>
      <c r="G23" s="96" t="s">
        <v>46</v>
      </c>
      <c r="H23" s="534" t="s">
        <v>46</v>
      </c>
      <c r="I23" s="877"/>
      <c r="J23" s="535" t="s">
        <v>46</v>
      </c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643"/>
      <c r="AP23" s="76" t="str">
        <f t="shared" si="3"/>
        <v>Нет оценок</v>
      </c>
      <c r="AQ23" s="77">
        <f t="shared" si="4"/>
        <v>0</v>
      </c>
      <c r="AR23" s="77">
        <f t="shared" si="5"/>
        <v>5</v>
      </c>
    </row>
    <row r="24" spans="1:44" ht="16.5" customHeight="1">
      <c r="A24" s="154" t="s">
        <v>27</v>
      </c>
      <c r="B24" s="151" t="s">
        <v>85</v>
      </c>
      <c r="C24" s="101"/>
      <c r="D24" s="551">
        <v>5</v>
      </c>
      <c r="E24" s="551"/>
      <c r="F24" s="551"/>
      <c r="G24" s="103"/>
      <c r="H24" s="550"/>
      <c r="I24" s="879"/>
      <c r="J24" s="551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654"/>
      <c r="AP24" s="76">
        <f t="shared" si="3"/>
        <v>5</v>
      </c>
      <c r="AQ24" s="77">
        <f t="shared" si="4"/>
        <v>0</v>
      </c>
      <c r="AR24" s="77">
        <f t="shared" si="5"/>
        <v>0</v>
      </c>
    </row>
    <row r="25" spans="1:44" ht="16.5" customHeight="1">
      <c r="A25" s="156" t="s">
        <v>86</v>
      </c>
      <c r="B25" s="150" t="s">
        <v>87</v>
      </c>
      <c r="C25" s="108" t="s">
        <v>46</v>
      </c>
      <c r="D25" s="535"/>
      <c r="E25" s="535"/>
      <c r="F25" s="535" t="s">
        <v>46</v>
      </c>
      <c r="G25" s="96" t="s">
        <v>46</v>
      </c>
      <c r="H25" s="534" t="s">
        <v>46</v>
      </c>
      <c r="I25" s="877"/>
      <c r="J25" s="535" t="s">
        <v>46</v>
      </c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643"/>
      <c r="AP25" s="76" t="str">
        <f t="shared" si="3"/>
        <v>Нет оценок</v>
      </c>
      <c r="AQ25" s="77">
        <f t="shared" si="4"/>
        <v>0</v>
      </c>
      <c r="AR25" s="77">
        <f t="shared" si="5"/>
        <v>5</v>
      </c>
    </row>
    <row r="26" spans="1:44" ht="16.5" hidden="1" customHeight="1">
      <c r="A26" s="139" t="s">
        <v>86</v>
      </c>
      <c r="B26" s="137" t="s">
        <v>88</v>
      </c>
      <c r="C26" s="74"/>
      <c r="D26" s="529"/>
      <c r="E26" s="529"/>
      <c r="F26" s="529"/>
      <c r="G26" s="70"/>
      <c r="H26" s="528"/>
      <c r="I26" s="876"/>
      <c r="J26" s="529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645"/>
      <c r="AP26" s="76" t="str">
        <f t="shared" si="3"/>
        <v>Нет оценок</v>
      </c>
      <c r="AQ26" s="77">
        <f t="shared" si="4"/>
        <v>0</v>
      </c>
      <c r="AR26" s="77">
        <f t="shared" si="5"/>
        <v>0</v>
      </c>
    </row>
    <row r="27" spans="1:44" ht="16.5" customHeight="1">
      <c r="A27" s="139" t="s">
        <v>89</v>
      </c>
      <c r="B27" s="137" t="s">
        <v>90</v>
      </c>
      <c r="C27" s="95"/>
      <c r="D27" s="563">
        <v>2</v>
      </c>
      <c r="E27" s="563"/>
      <c r="F27" s="563"/>
      <c r="G27" s="73"/>
      <c r="H27" s="562" t="s">
        <v>46</v>
      </c>
      <c r="I27" s="880"/>
      <c r="J27" s="56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661"/>
      <c r="AP27" s="76">
        <f t="shared" si="3"/>
        <v>2</v>
      </c>
      <c r="AQ27" s="77">
        <f t="shared" si="4"/>
        <v>0</v>
      </c>
      <c r="AR27" s="77">
        <f t="shared" si="5"/>
        <v>1</v>
      </c>
    </row>
    <row r="28" spans="1:44" ht="17.25" customHeight="1">
      <c r="A28" s="139" t="s">
        <v>91</v>
      </c>
      <c r="B28" s="137" t="s">
        <v>92</v>
      </c>
      <c r="C28" s="74"/>
      <c r="D28" s="529">
        <v>2</v>
      </c>
      <c r="E28" s="529" t="s">
        <v>46</v>
      </c>
      <c r="F28" s="529"/>
      <c r="G28" s="70"/>
      <c r="H28" s="528" t="s">
        <v>46</v>
      </c>
      <c r="I28" s="876"/>
      <c r="J28" s="529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97"/>
      <c r="AP28" s="76">
        <f t="shared" si="3"/>
        <v>2</v>
      </c>
      <c r="AQ28" s="77">
        <f t="shared" si="4"/>
        <v>0</v>
      </c>
      <c r="AR28" s="77">
        <f t="shared" si="5"/>
        <v>2</v>
      </c>
    </row>
    <row r="29" spans="1:44" ht="15.75">
      <c r="A29" s="165" t="s">
        <v>93</v>
      </c>
      <c r="B29" s="165" t="s">
        <v>94</v>
      </c>
      <c r="AP29" s="127">
        <f>IFERROR(AVERAGE(AP5:AP28),"")</f>
        <v>2.7647058823529411</v>
      </c>
      <c r="AQ29" s="128">
        <f>SUM(AQ5:AQ28)</f>
        <v>1</v>
      </c>
      <c r="AR29" s="128">
        <f>SUM(AR5:AR28)</f>
        <v>42</v>
      </c>
    </row>
    <row r="30" spans="1:44">
      <c r="A30" s="372">
        <v>46069</v>
      </c>
      <c r="B30" s="166" t="s">
        <v>494</v>
      </c>
      <c r="C30" t="s">
        <v>234</v>
      </c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</row>
    <row r="31" spans="1:44">
      <c r="A31" s="882">
        <v>46084</v>
      </c>
      <c r="B31" s="883" t="s">
        <v>309</v>
      </c>
      <c r="C31" t="s">
        <v>235</v>
      </c>
      <c r="D31" s="881"/>
      <c r="E31" s="881"/>
      <c r="F31" s="881"/>
      <c r="G31" s="881"/>
      <c r="H31" s="881"/>
      <c r="I31" s="881"/>
      <c r="J31" s="881"/>
      <c r="K31" s="881"/>
      <c r="L31" s="881"/>
      <c r="M31" s="881"/>
      <c r="N31" s="881"/>
      <c r="O31" s="566"/>
      <c r="P31" s="567" t="s">
        <v>324</v>
      </c>
      <c r="Q31" s="568" t="s">
        <v>325</v>
      </c>
      <c r="R31" s="881"/>
      <c r="S31" s="881"/>
    </row>
    <row r="32" spans="1:44" ht="60">
      <c r="A32" s="882">
        <v>46085</v>
      </c>
      <c r="B32" s="883" t="s">
        <v>313</v>
      </c>
      <c r="C32" t="s">
        <v>235</v>
      </c>
      <c r="D32" s="881"/>
      <c r="E32" s="881"/>
      <c r="F32" s="881"/>
      <c r="G32" s="881"/>
      <c r="H32" s="881"/>
      <c r="I32" s="881"/>
      <c r="J32" s="881"/>
      <c r="K32" s="881"/>
      <c r="L32" s="881"/>
      <c r="M32" s="881"/>
      <c r="N32" s="881"/>
      <c r="O32" s="569" t="s">
        <v>327</v>
      </c>
      <c r="P32" s="570">
        <v>28</v>
      </c>
      <c r="Q32" s="571">
        <v>28</v>
      </c>
      <c r="R32" s="881"/>
      <c r="S32" s="881"/>
    </row>
    <row r="33" spans="1:19" ht="45">
      <c r="A33" s="882">
        <v>46088</v>
      </c>
      <c r="B33" s="883" t="s">
        <v>330</v>
      </c>
      <c r="C33" t="s">
        <v>235</v>
      </c>
      <c r="D33" s="881"/>
      <c r="E33" s="881"/>
      <c r="F33" s="881"/>
      <c r="G33" s="881">
        <f>COUNTIF(C30:C80,"Л")</f>
        <v>4</v>
      </c>
      <c r="H33" s="881"/>
      <c r="I33" s="881"/>
      <c r="J33" s="881"/>
      <c r="K33" s="881"/>
      <c r="L33" s="881"/>
      <c r="M33" s="881"/>
      <c r="N33" s="881"/>
      <c r="O33" s="573" t="s">
        <v>329</v>
      </c>
      <c r="P33" s="574">
        <f>G33*2</f>
        <v>8</v>
      </c>
      <c r="Q33" s="575">
        <f>G34*2</f>
        <v>8</v>
      </c>
      <c r="R33" s="881"/>
      <c r="S33" s="881"/>
    </row>
    <row r="34" spans="1:19">
      <c r="A34" s="372">
        <v>46093</v>
      </c>
      <c r="B34" s="166" t="s">
        <v>495</v>
      </c>
      <c r="C34" t="s">
        <v>234</v>
      </c>
      <c r="D34" s="881"/>
      <c r="E34" s="881"/>
      <c r="F34" s="881"/>
      <c r="G34" s="881">
        <f>COUNTIF(C30:C80,"П")</f>
        <v>4</v>
      </c>
      <c r="H34" s="881"/>
      <c r="I34" s="881"/>
      <c r="J34" s="881"/>
      <c r="K34" s="881"/>
      <c r="L34" s="881"/>
      <c r="M34" s="881"/>
      <c r="N34" s="881"/>
      <c r="O34" s="881"/>
      <c r="P34" s="881"/>
      <c r="Q34" s="881"/>
      <c r="R34" s="881"/>
      <c r="S34" s="881"/>
    </row>
    <row r="35" spans="1:19">
      <c r="A35" s="884">
        <v>46111</v>
      </c>
      <c r="B35" s="885" t="s">
        <v>495</v>
      </c>
      <c r="C35" t="s">
        <v>234</v>
      </c>
      <c r="D35" s="881"/>
      <c r="E35" s="881"/>
      <c r="F35" s="881"/>
      <c r="G35" s="881"/>
      <c r="H35" s="881"/>
      <c r="I35" s="881"/>
      <c r="J35" s="881"/>
      <c r="K35" s="881"/>
      <c r="L35" s="881"/>
      <c r="M35" s="881"/>
      <c r="N35" s="881"/>
      <c r="O35" s="881"/>
      <c r="P35" s="881"/>
      <c r="Q35" s="881"/>
      <c r="R35" s="881"/>
      <c r="S35" s="881"/>
    </row>
    <row r="36" spans="1:19">
      <c r="A36" s="372">
        <v>46116</v>
      </c>
      <c r="B36" s="166" t="s">
        <v>496</v>
      </c>
      <c r="C36" t="s">
        <v>234</v>
      </c>
      <c r="D36" s="881"/>
      <c r="E36" s="881"/>
      <c r="F36" s="881"/>
      <c r="G36" s="881"/>
      <c r="H36" s="881"/>
      <c r="I36" s="881"/>
      <c r="J36" s="881"/>
      <c r="K36" s="881"/>
      <c r="L36" s="881"/>
      <c r="M36" s="881"/>
      <c r="N36" s="881"/>
      <c r="O36" s="881"/>
      <c r="P36" s="881"/>
      <c r="Q36" s="881"/>
      <c r="R36" s="881"/>
      <c r="S36" s="881"/>
    </row>
    <row r="37" spans="1:19">
      <c r="A37" s="882">
        <v>46119</v>
      </c>
      <c r="B37" s="883"/>
      <c r="C37" t="s">
        <v>235</v>
      </c>
      <c r="D37" s="881"/>
      <c r="E37" s="881"/>
      <c r="F37" s="881"/>
      <c r="G37" s="881"/>
      <c r="H37" s="881"/>
      <c r="I37" s="881"/>
      <c r="J37" s="881"/>
      <c r="K37" s="881"/>
      <c r="L37" s="881"/>
      <c r="M37" s="881"/>
      <c r="N37" s="881"/>
      <c r="O37" s="881"/>
      <c r="P37" s="881"/>
      <c r="Q37" s="881"/>
      <c r="R37" s="881"/>
      <c r="S37" s="881"/>
    </row>
    <row r="38" spans="1:19">
      <c r="A38" s="166"/>
      <c r="B38" s="166"/>
      <c r="D38" s="881"/>
      <c r="E38" s="881"/>
      <c r="F38" s="881"/>
      <c r="G38" s="881"/>
      <c r="H38" s="881"/>
      <c r="I38" s="881"/>
      <c r="J38" s="881"/>
      <c r="K38" s="881"/>
      <c r="L38" s="881"/>
      <c r="M38" s="881"/>
      <c r="N38" s="881"/>
      <c r="O38" s="881"/>
      <c r="P38" s="881"/>
      <c r="Q38" s="881"/>
      <c r="R38" s="881"/>
      <c r="S38" s="881"/>
    </row>
    <row r="39" spans="1:19">
      <c r="A39" s="166"/>
      <c r="B39" s="166"/>
    </row>
    <row r="40" spans="1:19">
      <c r="A40" s="166"/>
      <c r="B40" s="166"/>
    </row>
    <row r="41" spans="1:19">
      <c r="A41" s="166"/>
      <c r="B41" s="166"/>
    </row>
    <row r="42" spans="1:19">
      <c r="A42" s="166"/>
      <c r="B42" s="166"/>
    </row>
    <row r="43" spans="1:19">
      <c r="A43" s="166"/>
      <c r="B43" s="166"/>
    </row>
    <row r="44" spans="1:19">
      <c r="A44" s="166"/>
      <c r="B44" s="166"/>
    </row>
    <row r="45" spans="1:19">
      <c r="A45" s="166"/>
      <c r="B45" s="166"/>
    </row>
    <row r="46" spans="1:19">
      <c r="A46" s="166"/>
      <c r="B46" s="166"/>
    </row>
    <row r="47" spans="1:19">
      <c r="A47" s="166"/>
      <c r="B47" s="166"/>
    </row>
    <row r="48" spans="1:19">
      <c r="A48" s="166"/>
      <c r="B48" s="166"/>
    </row>
    <row r="49" spans="1:2">
      <c r="A49" s="166"/>
      <c r="B49" s="166"/>
    </row>
    <row r="50" spans="1:2">
      <c r="A50" s="166"/>
      <c r="B50" s="166"/>
    </row>
    <row r="51" spans="1:2">
      <c r="A51" s="166"/>
      <c r="B51" s="166"/>
    </row>
    <row r="52" spans="1:2">
      <c r="A52" s="166"/>
      <c r="B52" s="166"/>
    </row>
    <row r="53" spans="1:2">
      <c r="A53" s="166"/>
      <c r="B53" s="166"/>
    </row>
    <row r="54" spans="1:2">
      <c r="A54" s="166"/>
      <c r="B54" s="166"/>
    </row>
    <row r="55" spans="1:2">
      <c r="A55" s="166"/>
      <c r="B55" s="166"/>
    </row>
    <row r="56" spans="1:2">
      <c r="A56" s="166"/>
      <c r="B56" s="166"/>
    </row>
    <row r="57" spans="1:2">
      <c r="A57" s="166"/>
      <c r="B57" s="166"/>
    </row>
    <row r="58" spans="1:2">
      <c r="A58" s="166"/>
      <c r="B58" s="166"/>
    </row>
    <row r="59" spans="1:2">
      <c r="A59" s="166"/>
      <c r="B59" s="166"/>
    </row>
    <row r="60" spans="1:2">
      <c r="A60" s="166"/>
      <c r="B60" s="166"/>
    </row>
    <row r="61" spans="1:2">
      <c r="A61" s="166"/>
      <c r="B61" s="166"/>
    </row>
    <row r="62" spans="1:2">
      <c r="A62" s="166"/>
      <c r="B62" s="166"/>
    </row>
    <row r="63" spans="1:2">
      <c r="A63" s="166"/>
      <c r="B63" s="166"/>
    </row>
    <row r="64" spans="1:2">
      <c r="A64" s="166"/>
      <c r="B64" s="166"/>
    </row>
    <row r="65" spans="1:2">
      <c r="A65" s="166"/>
      <c r="B65" s="166"/>
    </row>
    <row r="66" spans="1:2">
      <c r="A66" s="166"/>
      <c r="B66" s="166"/>
    </row>
  </sheetData>
  <mergeCells count="6">
    <mergeCell ref="AQ3:AR3"/>
    <mergeCell ref="A1:B1"/>
    <mergeCell ref="C1:AN1"/>
    <mergeCell ref="A2:B2"/>
    <mergeCell ref="C2:AN2"/>
    <mergeCell ref="A3:A4"/>
  </mergeCells>
  <conditionalFormatting sqref="AR5:AR28">
    <cfRule type="cellIs" dxfId="36" priority="2" operator="greaterThan">
      <formula>0</formula>
    </cfRule>
  </conditionalFormatting>
  <conditionalFormatting sqref="AP5:AP29">
    <cfRule type="cellIs" dxfId="35" priority="1" operator="lessThan">
      <formula>3</formula>
    </cfRule>
  </conditionalFormatting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Y67"/>
  <sheetViews>
    <sheetView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customWidth="1"/>
    <col min="2" max="2" width="34.44140625" customWidth="1"/>
    <col min="3" max="73" width="2.77734375" customWidth="1"/>
    <col min="74" max="74" width="6.6640625" customWidth="1"/>
    <col min="75" max="75" width="10.6640625" customWidth="1"/>
    <col min="76" max="77" width="8.109375" customWidth="1"/>
  </cols>
  <sheetData>
    <row r="1" spans="1:77" ht="27.75">
      <c r="A1" s="1277" t="s">
        <v>38</v>
      </c>
      <c r="B1" s="1277"/>
      <c r="C1" s="1280" t="s">
        <v>24</v>
      </c>
      <c r="D1" s="1280"/>
      <c r="E1" s="1280"/>
      <c r="F1" s="1280"/>
      <c r="G1" s="1280"/>
      <c r="H1" s="1280"/>
      <c r="I1" s="1280"/>
      <c r="J1" s="1280"/>
      <c r="K1" s="1280"/>
      <c r="L1" s="1280"/>
      <c r="M1" s="1280"/>
      <c r="N1" s="1280"/>
      <c r="O1" s="1280"/>
      <c r="P1" s="1280"/>
      <c r="Q1" s="1280"/>
      <c r="R1" s="1280"/>
      <c r="S1" s="1280"/>
      <c r="T1" s="1280"/>
      <c r="U1" s="1280"/>
      <c r="V1" s="1280"/>
      <c r="W1" s="1280"/>
      <c r="X1" s="1280"/>
      <c r="Y1" s="1280"/>
      <c r="Z1" s="1280"/>
      <c r="AA1" s="1280"/>
      <c r="AB1" s="1280"/>
      <c r="AC1" s="1280"/>
      <c r="AD1" s="1280"/>
      <c r="AE1" s="1280"/>
      <c r="AF1" s="1280"/>
      <c r="AG1" s="1280"/>
      <c r="AH1" s="1280"/>
      <c r="AI1" s="1280"/>
      <c r="AJ1" s="1280"/>
      <c r="AK1" s="1280"/>
      <c r="AL1" s="1280"/>
      <c r="AM1" s="1280"/>
      <c r="AN1" s="1280"/>
      <c r="AO1" s="1280"/>
      <c r="AP1" s="1280"/>
      <c r="AQ1" s="1280"/>
      <c r="AR1" s="1280"/>
      <c r="AS1" s="1280"/>
      <c r="AT1" s="1280"/>
      <c r="AU1" s="1280"/>
      <c r="AV1" s="1280"/>
      <c r="AW1" s="1280"/>
      <c r="AX1" s="1280"/>
      <c r="AY1" s="1280"/>
      <c r="AZ1" s="1280"/>
      <c r="BA1" s="1280"/>
      <c r="BB1" s="1280"/>
      <c r="BC1" s="1280"/>
      <c r="BD1" s="1280"/>
      <c r="BE1" s="1280"/>
      <c r="BF1" s="1280"/>
      <c r="BG1" s="1280"/>
      <c r="BH1" s="1280"/>
      <c r="BI1" s="1280"/>
      <c r="BJ1" s="1280"/>
      <c r="BK1" s="1280"/>
      <c r="BL1" s="1280"/>
      <c r="BM1" s="1280"/>
      <c r="BN1" s="1280"/>
      <c r="BO1" s="1280"/>
      <c r="BP1" s="1280"/>
      <c r="BQ1" s="1280"/>
      <c r="BR1" s="1280"/>
      <c r="BS1" s="1280"/>
      <c r="BT1" s="1280"/>
      <c r="BU1" s="1280"/>
      <c r="BV1" s="1280"/>
    </row>
    <row r="2" spans="1:77" ht="27.75">
      <c r="A2" s="1277" t="s">
        <v>39</v>
      </c>
      <c r="B2" s="1277"/>
      <c r="C2" s="1277" t="s">
        <v>497</v>
      </c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1277"/>
      <c r="AD2" s="1277"/>
      <c r="AE2" s="1277"/>
      <c r="AF2" s="1277"/>
      <c r="AG2" s="1277"/>
      <c r="AH2" s="1277"/>
      <c r="AI2" s="1277"/>
      <c r="AJ2" s="1277"/>
      <c r="AK2" s="1277"/>
      <c r="AL2" s="1277"/>
      <c r="AM2" s="1277"/>
      <c r="AN2" s="1277"/>
      <c r="AO2" s="1277"/>
      <c r="AP2" s="1277"/>
      <c r="AQ2" s="1277"/>
      <c r="AR2" s="1277"/>
      <c r="AS2" s="1277"/>
      <c r="AT2" s="1277"/>
      <c r="AU2" s="1277"/>
      <c r="AV2" s="1277"/>
      <c r="AW2" s="1277"/>
      <c r="AX2" s="1277"/>
      <c r="AY2" s="1277"/>
      <c r="AZ2" s="1277"/>
      <c r="BA2" s="1277"/>
      <c r="BB2" s="1277"/>
      <c r="BC2" s="1277"/>
      <c r="BD2" s="1277"/>
      <c r="BE2" s="1277"/>
      <c r="BF2" s="1277"/>
      <c r="BG2" s="1277"/>
      <c r="BH2" s="1277"/>
      <c r="BI2" s="1277"/>
      <c r="BJ2" s="1277"/>
      <c r="BK2" s="1277"/>
      <c r="BL2" s="1277"/>
      <c r="BM2" s="1277"/>
      <c r="BN2" s="1277"/>
      <c r="BO2" s="1277"/>
      <c r="BP2" s="1277"/>
      <c r="BQ2" s="1277"/>
      <c r="BR2" s="1277"/>
      <c r="BS2" s="1277"/>
      <c r="BT2" s="1277"/>
      <c r="BU2" s="1277"/>
      <c r="BV2" s="1277"/>
      <c r="BW2" s="32"/>
      <c r="BX2" s="32"/>
      <c r="BY2" s="32"/>
    </row>
    <row r="3" spans="1:77" ht="15.75">
      <c r="A3" s="1281" t="s">
        <v>41</v>
      </c>
      <c r="B3" s="129" t="s">
        <v>42</v>
      </c>
      <c r="C3" s="130">
        <v>1</v>
      </c>
      <c r="D3" s="42">
        <v>2</v>
      </c>
      <c r="E3" s="886">
        <v>2</v>
      </c>
      <c r="F3" s="42">
        <v>2</v>
      </c>
      <c r="G3" s="42">
        <v>2</v>
      </c>
      <c r="H3" s="886">
        <v>2</v>
      </c>
      <c r="I3" s="886">
        <v>2</v>
      </c>
      <c r="J3" s="886">
        <v>2</v>
      </c>
      <c r="K3" s="42">
        <v>3</v>
      </c>
      <c r="L3" s="42">
        <v>4</v>
      </c>
      <c r="M3" s="886">
        <v>4</v>
      </c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315"/>
      <c r="BV3" s="316" t="s">
        <v>207</v>
      </c>
      <c r="BW3" s="45"/>
      <c r="BX3" s="1278" t="s">
        <v>0</v>
      </c>
      <c r="BY3" s="1279"/>
    </row>
    <row r="4" spans="1:77" ht="15.75">
      <c r="A4" s="1282"/>
      <c r="B4" s="132" t="s">
        <v>43</v>
      </c>
      <c r="C4" s="133">
        <v>29</v>
      </c>
      <c r="D4" s="57">
        <v>2</v>
      </c>
      <c r="E4" s="887">
        <v>2</v>
      </c>
      <c r="F4" s="57">
        <v>12</v>
      </c>
      <c r="G4" s="57">
        <v>16</v>
      </c>
      <c r="H4" s="887">
        <v>17</v>
      </c>
      <c r="I4" s="887">
        <v>18</v>
      </c>
      <c r="J4" s="887">
        <v>19</v>
      </c>
      <c r="K4" s="57">
        <v>7</v>
      </c>
      <c r="L4" s="57">
        <v>2</v>
      </c>
      <c r="M4" s="887">
        <v>4</v>
      </c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318" t="s">
        <v>498</v>
      </c>
      <c r="BW4" s="45" t="s">
        <v>33</v>
      </c>
      <c r="BX4" s="60" t="s">
        <v>5</v>
      </c>
      <c r="BY4" s="60" t="s">
        <v>6</v>
      </c>
    </row>
    <row r="5" spans="1:77" ht="16.5" customHeight="1">
      <c r="A5" s="136" t="s">
        <v>44</v>
      </c>
      <c r="B5" s="137" t="s">
        <v>45</v>
      </c>
      <c r="C5" s="74"/>
      <c r="D5" s="888" t="s">
        <v>46</v>
      </c>
      <c r="E5" s="888" t="s">
        <v>46</v>
      </c>
      <c r="F5" s="74"/>
      <c r="G5" s="74"/>
      <c r="H5" s="889"/>
      <c r="I5" s="888" t="s">
        <v>46</v>
      </c>
      <c r="J5" s="888" t="s">
        <v>46</v>
      </c>
      <c r="K5" s="888" t="s">
        <v>46</v>
      </c>
      <c r="L5" s="888" t="s">
        <v>46</v>
      </c>
      <c r="M5" s="889" t="s">
        <v>46</v>
      </c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890"/>
      <c r="BW5" s="76" t="str">
        <f t="shared" ref="BW5:BW9" si="0">IFERROR(AVERAGE(C5:BV5),"Нет оценок")</f>
        <v>Нет оценок</v>
      </c>
      <c r="BX5" s="77">
        <f t="shared" ref="BX5:BX9" si="1">COUNTIF(C5:BV5,"н/у")</f>
        <v>0</v>
      </c>
      <c r="BY5" s="77">
        <f t="shared" ref="BY5:BY9" si="2">COUNTIF(C5:BV5,"н")</f>
        <v>7</v>
      </c>
    </row>
    <row r="6" spans="1:77" ht="16.5" customHeight="1">
      <c r="A6" s="139" t="s">
        <v>49</v>
      </c>
      <c r="B6" s="140" t="s">
        <v>50</v>
      </c>
      <c r="C6" s="891" t="s">
        <v>46</v>
      </c>
      <c r="D6" s="108"/>
      <c r="E6" s="892"/>
      <c r="F6" s="108"/>
      <c r="G6" s="891" t="s">
        <v>46</v>
      </c>
      <c r="H6" s="892"/>
      <c r="I6" s="891" t="s">
        <v>46</v>
      </c>
      <c r="J6" s="891" t="s">
        <v>46</v>
      </c>
      <c r="K6" s="108">
        <v>4</v>
      </c>
      <c r="L6" s="108"/>
      <c r="M6" s="892" t="s">
        <v>37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618"/>
      <c r="BW6" s="76">
        <f t="shared" si="0"/>
        <v>4</v>
      </c>
      <c r="BX6" s="77">
        <f t="shared" si="1"/>
        <v>0</v>
      </c>
      <c r="BY6" s="77">
        <f t="shared" si="2"/>
        <v>4</v>
      </c>
    </row>
    <row r="7" spans="1:77" ht="16.5" customHeight="1">
      <c r="A7" s="204" t="s">
        <v>51</v>
      </c>
      <c r="B7" s="137" t="s">
        <v>52</v>
      </c>
      <c r="C7" s="74"/>
      <c r="D7" s="74"/>
      <c r="E7" s="889">
        <v>4</v>
      </c>
      <c r="F7" s="74"/>
      <c r="G7" s="74"/>
      <c r="H7" s="889">
        <v>5</v>
      </c>
      <c r="I7" s="889"/>
      <c r="J7" s="889"/>
      <c r="K7" s="74">
        <v>4</v>
      </c>
      <c r="L7" s="74"/>
      <c r="M7" s="889">
        <v>4</v>
      </c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618"/>
      <c r="BW7" s="76">
        <f t="shared" si="0"/>
        <v>4.25</v>
      </c>
      <c r="BX7" s="77">
        <f t="shared" si="1"/>
        <v>0</v>
      </c>
      <c r="BY7" s="77">
        <f t="shared" si="2"/>
        <v>0</v>
      </c>
    </row>
    <row r="8" spans="1:77" ht="16.5" customHeight="1">
      <c r="A8" s="144" t="s">
        <v>53</v>
      </c>
      <c r="B8" s="137" t="s">
        <v>54</v>
      </c>
      <c r="C8" s="74"/>
      <c r="D8" s="74"/>
      <c r="E8" s="889"/>
      <c r="F8" s="74"/>
      <c r="G8" s="74"/>
      <c r="H8" s="889">
        <v>4</v>
      </c>
      <c r="I8" s="889"/>
      <c r="J8" s="889"/>
      <c r="K8" s="74">
        <v>3</v>
      </c>
      <c r="L8" s="74"/>
      <c r="M8" s="893" t="s">
        <v>101</v>
      </c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5"/>
      <c r="BW8" s="76">
        <f t="shared" si="0"/>
        <v>3.5</v>
      </c>
      <c r="BX8" s="77">
        <f t="shared" si="1"/>
        <v>0</v>
      </c>
      <c r="BY8" s="77">
        <f t="shared" si="2"/>
        <v>0</v>
      </c>
    </row>
    <row r="9" spans="1:77" ht="16.5" customHeight="1">
      <c r="A9" s="146" t="s">
        <v>55</v>
      </c>
      <c r="B9" s="147" t="s">
        <v>56</v>
      </c>
      <c r="C9" s="105"/>
      <c r="D9" s="105"/>
      <c r="E9" s="894"/>
      <c r="F9" s="105"/>
      <c r="G9" s="105"/>
      <c r="H9" s="894"/>
      <c r="I9" s="894">
        <v>3</v>
      </c>
      <c r="J9" s="894"/>
      <c r="K9" s="105" t="s">
        <v>46</v>
      </c>
      <c r="L9" s="105" t="s">
        <v>46</v>
      </c>
      <c r="M9" s="895" t="s">
        <v>101</v>
      </c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411"/>
      <c r="BW9" s="76">
        <f t="shared" si="0"/>
        <v>3</v>
      </c>
      <c r="BX9" s="77">
        <f t="shared" si="1"/>
        <v>0</v>
      </c>
      <c r="BY9" s="77">
        <f t="shared" si="2"/>
        <v>2</v>
      </c>
    </row>
    <row r="10" spans="1:77" ht="16.5" customHeight="1">
      <c r="A10" s="149" t="s">
        <v>57</v>
      </c>
      <c r="B10" s="150" t="s">
        <v>58</v>
      </c>
      <c r="C10" s="108"/>
      <c r="D10" s="108"/>
      <c r="E10" s="892">
        <v>4</v>
      </c>
      <c r="F10" s="108"/>
      <c r="G10" s="108"/>
      <c r="H10" s="892">
        <v>5</v>
      </c>
      <c r="I10" s="892"/>
      <c r="J10" s="892"/>
      <c r="K10" s="108">
        <v>4</v>
      </c>
      <c r="L10" s="108"/>
      <c r="M10" s="892" t="s">
        <v>37</v>
      </c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412"/>
      <c r="BW10" s="76">
        <f t="shared" ref="BW10:BW28" si="3">IFERROR(AVERAGE(C10:BV10),"Нет оценок")</f>
        <v>4.333333333333333</v>
      </c>
      <c r="BX10" s="77">
        <f t="shared" ref="BX10:BX28" si="4">COUNTIF(C10:BV10,"н/у")</f>
        <v>0</v>
      </c>
      <c r="BY10" s="77">
        <f t="shared" ref="BY10:BY28" si="5">COUNTIF(C10:BV10,"н")</f>
        <v>0</v>
      </c>
    </row>
    <row r="11" spans="1:77" ht="16.5" customHeight="1">
      <c r="A11" s="144" t="s">
        <v>59</v>
      </c>
      <c r="B11" s="137" t="s">
        <v>60</v>
      </c>
      <c r="C11" s="74"/>
      <c r="D11" s="74"/>
      <c r="E11" s="889"/>
      <c r="F11" s="74"/>
      <c r="G11" s="74"/>
      <c r="H11" s="889">
        <v>4</v>
      </c>
      <c r="I11" s="889"/>
      <c r="J11" s="889"/>
      <c r="K11" s="74" t="s">
        <v>37</v>
      </c>
      <c r="L11" s="74"/>
      <c r="M11" s="889" t="s">
        <v>46</v>
      </c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97"/>
      <c r="BW11" s="76">
        <f t="shared" si="3"/>
        <v>4</v>
      </c>
      <c r="BX11" s="77">
        <f t="shared" si="4"/>
        <v>0</v>
      </c>
      <c r="BY11" s="77">
        <f t="shared" si="5"/>
        <v>1</v>
      </c>
    </row>
    <row r="12" spans="1:77" ht="16.5" customHeight="1">
      <c r="A12" s="144" t="s">
        <v>61</v>
      </c>
      <c r="B12" s="137" t="s">
        <v>62</v>
      </c>
      <c r="C12" s="74"/>
      <c r="D12" s="74"/>
      <c r="E12" s="889">
        <v>4</v>
      </c>
      <c r="F12" s="74"/>
      <c r="G12" s="74"/>
      <c r="H12" s="889"/>
      <c r="I12" s="889">
        <v>4</v>
      </c>
      <c r="J12" s="889"/>
      <c r="K12" s="74">
        <v>3</v>
      </c>
      <c r="L12" s="74"/>
      <c r="M12" s="889" t="s">
        <v>37</v>
      </c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97"/>
      <c r="BW12" s="76">
        <f t="shared" si="3"/>
        <v>3.6666666666666665</v>
      </c>
      <c r="BX12" s="77">
        <f t="shared" si="4"/>
        <v>0</v>
      </c>
      <c r="BY12" s="77">
        <f t="shared" si="5"/>
        <v>0</v>
      </c>
    </row>
    <row r="13" spans="1:77" ht="16.5" customHeight="1">
      <c r="A13" s="144" t="s">
        <v>63</v>
      </c>
      <c r="B13" s="150" t="s">
        <v>64</v>
      </c>
      <c r="C13" s="108"/>
      <c r="D13" s="891" t="s">
        <v>46</v>
      </c>
      <c r="E13" s="891" t="s">
        <v>46</v>
      </c>
      <c r="F13" s="896"/>
      <c r="G13" s="346" t="s">
        <v>46</v>
      </c>
      <c r="H13" s="892">
        <v>4</v>
      </c>
      <c r="I13" s="892"/>
      <c r="J13" s="892"/>
      <c r="K13" s="891" t="s">
        <v>46</v>
      </c>
      <c r="L13" s="891" t="s">
        <v>46</v>
      </c>
      <c r="M13" s="897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96"/>
      <c r="BD13" s="96"/>
      <c r="BE13" s="96"/>
      <c r="BF13" s="96"/>
      <c r="BG13" s="96"/>
      <c r="BH13" s="96"/>
      <c r="BI13" s="96"/>
      <c r="BJ13" s="238"/>
      <c r="BK13" s="238"/>
      <c r="BL13" s="238"/>
      <c r="BM13" s="238"/>
      <c r="BN13" s="238"/>
      <c r="BO13" s="238"/>
      <c r="BP13" s="238"/>
      <c r="BQ13" s="238"/>
      <c r="BR13" s="96"/>
      <c r="BS13" s="96"/>
      <c r="BT13" s="96"/>
      <c r="BU13" s="96"/>
      <c r="BV13" s="412"/>
      <c r="BW13" s="76">
        <f t="shared" si="3"/>
        <v>4</v>
      </c>
      <c r="BX13" s="77">
        <f t="shared" si="4"/>
        <v>0</v>
      </c>
      <c r="BY13" s="77">
        <f t="shared" si="5"/>
        <v>5</v>
      </c>
    </row>
    <row r="14" spans="1:77" ht="16.5" customHeight="1">
      <c r="A14" s="146" t="s">
        <v>65</v>
      </c>
      <c r="B14" s="151" t="s">
        <v>66</v>
      </c>
      <c r="C14" s="101"/>
      <c r="D14" s="101"/>
      <c r="E14" s="898"/>
      <c r="F14" s="101"/>
      <c r="G14" s="101"/>
      <c r="H14" s="898"/>
      <c r="I14" s="898">
        <v>4</v>
      </c>
      <c r="J14" s="898"/>
      <c r="K14" s="101">
        <v>4</v>
      </c>
      <c r="L14" s="101" t="s">
        <v>46</v>
      </c>
      <c r="M14" s="899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7"/>
      <c r="BW14" s="76">
        <f t="shared" si="3"/>
        <v>4</v>
      </c>
      <c r="BX14" s="77">
        <f t="shared" si="4"/>
        <v>0</v>
      </c>
      <c r="BY14" s="77">
        <f t="shared" si="5"/>
        <v>1</v>
      </c>
    </row>
    <row r="15" spans="1:77" ht="16.5" customHeight="1">
      <c r="A15" s="149" t="s">
        <v>67</v>
      </c>
      <c r="B15" s="150" t="s">
        <v>68</v>
      </c>
      <c r="C15" s="108"/>
      <c r="D15" s="108"/>
      <c r="E15" s="892"/>
      <c r="F15" s="108">
        <v>5</v>
      </c>
      <c r="G15" s="108"/>
      <c r="H15" s="892">
        <v>4</v>
      </c>
      <c r="I15" s="892"/>
      <c r="J15" s="892"/>
      <c r="K15" s="108">
        <v>4</v>
      </c>
      <c r="L15" s="108"/>
      <c r="M15" s="892" t="s">
        <v>37</v>
      </c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412"/>
      <c r="BW15" s="76">
        <f t="shared" si="3"/>
        <v>4.333333333333333</v>
      </c>
      <c r="BX15" s="77">
        <f t="shared" si="4"/>
        <v>0</v>
      </c>
      <c r="BY15" s="77">
        <f t="shared" si="5"/>
        <v>0</v>
      </c>
    </row>
    <row r="16" spans="1:77" ht="16.5" customHeight="1">
      <c r="A16" s="144" t="s">
        <v>69</v>
      </c>
      <c r="B16" s="137" t="s">
        <v>70</v>
      </c>
      <c r="C16" s="888" t="s">
        <v>46</v>
      </c>
      <c r="D16" s="74"/>
      <c r="E16" s="889"/>
      <c r="F16" s="74"/>
      <c r="G16" s="74"/>
      <c r="H16" s="888" t="s">
        <v>46</v>
      </c>
      <c r="I16" s="889">
        <v>3</v>
      </c>
      <c r="J16" s="888" t="s">
        <v>46</v>
      </c>
      <c r="K16" s="74">
        <v>4</v>
      </c>
      <c r="L16" s="888" t="s">
        <v>46</v>
      </c>
      <c r="M16" s="893" t="s">
        <v>101</v>
      </c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97"/>
      <c r="BW16" s="76">
        <f t="shared" si="3"/>
        <v>3.5</v>
      </c>
      <c r="BX16" s="77">
        <f t="shared" si="4"/>
        <v>0</v>
      </c>
      <c r="BY16" s="77">
        <f t="shared" si="5"/>
        <v>4</v>
      </c>
    </row>
    <row r="17" spans="1:77" ht="16.5" customHeight="1">
      <c r="A17" s="144" t="s">
        <v>71</v>
      </c>
      <c r="B17" s="137" t="s">
        <v>72</v>
      </c>
      <c r="C17" s="74"/>
      <c r="D17" s="74"/>
      <c r="E17" s="889"/>
      <c r="F17" s="888" t="s">
        <v>46</v>
      </c>
      <c r="G17" s="888" t="s">
        <v>46</v>
      </c>
      <c r="H17" s="888" t="s">
        <v>46</v>
      </c>
      <c r="I17" s="888" t="s">
        <v>46</v>
      </c>
      <c r="J17" s="889"/>
      <c r="K17" s="900" t="s">
        <v>37</v>
      </c>
      <c r="L17" s="888" t="s">
        <v>46</v>
      </c>
      <c r="M17" s="889" t="s">
        <v>46</v>
      </c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97"/>
      <c r="BW17" s="76" t="str">
        <f t="shared" si="3"/>
        <v>Нет оценок</v>
      </c>
      <c r="BX17" s="77">
        <f t="shared" si="4"/>
        <v>0</v>
      </c>
      <c r="BY17" s="77">
        <f t="shared" si="5"/>
        <v>6</v>
      </c>
    </row>
    <row r="18" spans="1:77" ht="16.5" customHeight="1">
      <c r="A18" s="144" t="s">
        <v>73</v>
      </c>
      <c r="B18" s="150" t="s">
        <v>74</v>
      </c>
      <c r="C18" s="108"/>
      <c r="D18" s="108"/>
      <c r="E18" s="892"/>
      <c r="F18" s="891" t="s">
        <v>46</v>
      </c>
      <c r="G18" s="108"/>
      <c r="H18" s="892"/>
      <c r="I18" s="891" t="s">
        <v>46</v>
      </c>
      <c r="J18" s="891" t="s">
        <v>46</v>
      </c>
      <c r="K18" s="896">
        <v>4</v>
      </c>
      <c r="L18" s="108"/>
      <c r="M18" s="892" t="s">
        <v>37</v>
      </c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412"/>
      <c r="BW18" s="76">
        <f t="shared" si="3"/>
        <v>4</v>
      </c>
      <c r="BX18" s="77">
        <f t="shared" si="4"/>
        <v>0</v>
      </c>
      <c r="BY18" s="77">
        <f t="shared" si="5"/>
        <v>3</v>
      </c>
    </row>
    <row r="19" spans="1:77" ht="16.5" customHeight="1">
      <c r="A19" s="146" t="s">
        <v>75</v>
      </c>
      <c r="B19" s="151" t="s">
        <v>76</v>
      </c>
      <c r="C19" s="101"/>
      <c r="D19" s="101"/>
      <c r="E19" s="898"/>
      <c r="F19" s="101"/>
      <c r="G19" s="901" t="s">
        <v>46</v>
      </c>
      <c r="H19" s="898"/>
      <c r="I19" s="901" t="s">
        <v>46</v>
      </c>
      <c r="J19" s="901" t="s">
        <v>46</v>
      </c>
      <c r="K19" s="101" t="s">
        <v>37</v>
      </c>
      <c r="L19" s="101"/>
      <c r="M19" s="898" t="s">
        <v>37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7"/>
      <c r="BW19" s="76" t="str">
        <f t="shared" si="3"/>
        <v>Нет оценок</v>
      </c>
      <c r="BX19" s="77">
        <f t="shared" si="4"/>
        <v>0</v>
      </c>
      <c r="BY19" s="77">
        <f t="shared" si="5"/>
        <v>3</v>
      </c>
    </row>
    <row r="20" spans="1:77" ht="16.5" customHeight="1">
      <c r="A20" s="149" t="s">
        <v>77</v>
      </c>
      <c r="B20" s="150" t="s">
        <v>78</v>
      </c>
      <c r="C20" s="108"/>
      <c r="D20" s="108"/>
      <c r="E20" s="892"/>
      <c r="F20" s="108" t="s">
        <v>46</v>
      </c>
      <c r="G20" s="108"/>
      <c r="H20" s="892">
        <v>4</v>
      </c>
      <c r="I20" s="892"/>
      <c r="J20" s="892"/>
      <c r="K20" s="108">
        <v>5</v>
      </c>
      <c r="L20" s="108" t="s">
        <v>46</v>
      </c>
      <c r="M20" s="892" t="s">
        <v>46</v>
      </c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412"/>
      <c r="BW20" s="76">
        <f t="shared" si="3"/>
        <v>4.5</v>
      </c>
      <c r="BX20" s="77">
        <f t="shared" si="4"/>
        <v>0</v>
      </c>
      <c r="BY20" s="77">
        <f t="shared" si="5"/>
        <v>3</v>
      </c>
    </row>
    <row r="21" spans="1:77" ht="16.5" customHeight="1">
      <c r="A21" s="144" t="s">
        <v>79</v>
      </c>
      <c r="B21" s="137" t="s">
        <v>80</v>
      </c>
      <c r="C21" s="74"/>
      <c r="D21" s="74"/>
      <c r="E21" s="889"/>
      <c r="F21" s="888" t="s">
        <v>46</v>
      </c>
      <c r="G21" s="888" t="s">
        <v>46</v>
      </c>
      <c r="H21" s="889">
        <v>4</v>
      </c>
      <c r="I21" s="889"/>
      <c r="J21" s="888" t="s">
        <v>46</v>
      </c>
      <c r="K21" s="900">
        <v>4</v>
      </c>
      <c r="L21" s="888" t="s">
        <v>46</v>
      </c>
      <c r="M21" s="889" t="s">
        <v>46</v>
      </c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97"/>
      <c r="BW21" s="76">
        <f t="shared" si="3"/>
        <v>4</v>
      </c>
      <c r="BX21" s="77">
        <f t="shared" si="4"/>
        <v>0</v>
      </c>
      <c r="BY21" s="77">
        <f t="shared" si="5"/>
        <v>5</v>
      </c>
    </row>
    <row r="22" spans="1:77" ht="16.5" customHeight="1">
      <c r="A22" s="144" t="s">
        <v>81</v>
      </c>
      <c r="B22" s="137" t="s">
        <v>82</v>
      </c>
      <c r="C22" s="74"/>
      <c r="D22" s="74"/>
      <c r="E22" s="889">
        <v>4</v>
      </c>
      <c r="F22" s="74" t="s">
        <v>34</v>
      </c>
      <c r="G22" s="74"/>
      <c r="H22" s="889">
        <v>5</v>
      </c>
      <c r="I22" s="889"/>
      <c r="J22" s="889"/>
      <c r="K22" s="74">
        <v>4</v>
      </c>
      <c r="L22" s="74"/>
      <c r="M22" s="889" t="s">
        <v>37</v>
      </c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97"/>
      <c r="BW22" s="76">
        <f t="shared" si="3"/>
        <v>4.333333333333333</v>
      </c>
      <c r="BX22" s="77">
        <f t="shared" si="4"/>
        <v>0</v>
      </c>
      <c r="BY22" s="77">
        <f t="shared" si="5"/>
        <v>0</v>
      </c>
    </row>
    <row r="23" spans="1:77" ht="16.5" customHeight="1">
      <c r="A23" s="144" t="s">
        <v>83</v>
      </c>
      <c r="B23" s="150" t="s">
        <v>84</v>
      </c>
      <c r="C23" s="891" t="s">
        <v>46</v>
      </c>
      <c r="D23" s="108"/>
      <c r="E23" s="892"/>
      <c r="F23" s="891" t="s">
        <v>46</v>
      </c>
      <c r="G23" s="108"/>
      <c r="H23" s="891" t="s">
        <v>46</v>
      </c>
      <c r="I23" s="892">
        <v>4</v>
      </c>
      <c r="J23" s="891" t="s">
        <v>46</v>
      </c>
      <c r="K23" s="891" t="s">
        <v>46</v>
      </c>
      <c r="L23" s="70" t="s">
        <v>48</v>
      </c>
      <c r="M23" s="892" t="s">
        <v>37</v>
      </c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7"/>
      <c r="BW23" s="76">
        <f t="shared" si="3"/>
        <v>4</v>
      </c>
      <c r="BX23" s="77">
        <f t="shared" si="4"/>
        <v>1</v>
      </c>
      <c r="BY23" s="77">
        <f t="shared" si="5"/>
        <v>5</v>
      </c>
    </row>
    <row r="24" spans="1:77" ht="16.5" customHeight="1">
      <c r="A24" s="154" t="s">
        <v>27</v>
      </c>
      <c r="B24" s="151" t="s">
        <v>85</v>
      </c>
      <c r="C24" s="101"/>
      <c r="D24" s="101"/>
      <c r="E24" s="898">
        <v>4</v>
      </c>
      <c r="F24" s="101"/>
      <c r="G24" s="101"/>
      <c r="H24" s="898">
        <v>5</v>
      </c>
      <c r="I24" s="898"/>
      <c r="J24" s="898"/>
      <c r="K24" s="101">
        <v>4</v>
      </c>
      <c r="L24" s="101"/>
      <c r="M24" s="898">
        <v>4</v>
      </c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7"/>
      <c r="BW24" s="76">
        <f t="shared" si="3"/>
        <v>4.25</v>
      </c>
      <c r="BX24" s="77">
        <f t="shared" si="4"/>
        <v>0</v>
      </c>
      <c r="BY24" s="77">
        <f t="shared" si="5"/>
        <v>0</v>
      </c>
    </row>
    <row r="25" spans="1:77" ht="16.5" customHeight="1">
      <c r="A25" s="156" t="s">
        <v>86</v>
      </c>
      <c r="B25" s="150" t="s">
        <v>87</v>
      </c>
      <c r="C25" s="891" t="s">
        <v>46</v>
      </c>
      <c r="D25" s="108"/>
      <c r="E25" s="892"/>
      <c r="F25" s="108"/>
      <c r="G25" s="891" t="s">
        <v>46</v>
      </c>
      <c r="H25" s="891" t="s">
        <v>46</v>
      </c>
      <c r="I25" s="891" t="s">
        <v>46</v>
      </c>
      <c r="J25" s="891" t="s">
        <v>46</v>
      </c>
      <c r="K25" s="891" t="s">
        <v>46</v>
      </c>
      <c r="L25" s="108"/>
      <c r="M25" s="897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643"/>
      <c r="BW25" s="76" t="str">
        <f t="shared" si="3"/>
        <v>Нет оценок</v>
      </c>
      <c r="BX25" s="77">
        <f t="shared" si="4"/>
        <v>0</v>
      </c>
      <c r="BY25" s="77">
        <f t="shared" si="5"/>
        <v>6</v>
      </c>
    </row>
    <row r="26" spans="1:77" s="902" customFormat="1" ht="16.5" hidden="1" customHeight="1">
      <c r="A26" s="139" t="s">
        <v>86</v>
      </c>
      <c r="B26" s="903" t="s">
        <v>88</v>
      </c>
      <c r="M26" s="904"/>
      <c r="BW26" s="902" t="str">
        <f t="shared" si="3"/>
        <v>Нет оценок</v>
      </c>
      <c r="BX26" s="902">
        <f t="shared" si="4"/>
        <v>0</v>
      </c>
      <c r="BY26" s="902">
        <f t="shared" si="5"/>
        <v>0</v>
      </c>
    </row>
    <row r="27" spans="1:77" ht="16.5" customHeight="1">
      <c r="A27" s="139" t="s">
        <v>89</v>
      </c>
      <c r="B27" s="137" t="s">
        <v>90</v>
      </c>
      <c r="C27" s="905" t="s">
        <v>46</v>
      </c>
      <c r="D27" s="95"/>
      <c r="E27" s="906"/>
      <c r="F27" s="905" t="s">
        <v>46</v>
      </c>
      <c r="G27" s="905" t="s">
        <v>46</v>
      </c>
      <c r="H27" s="906"/>
      <c r="I27" s="906">
        <v>4</v>
      </c>
      <c r="J27" s="906"/>
      <c r="K27" s="95" t="s">
        <v>37</v>
      </c>
      <c r="L27" s="905" t="s">
        <v>46</v>
      </c>
      <c r="M27" s="907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645"/>
      <c r="BW27" s="76">
        <f t="shared" si="3"/>
        <v>4</v>
      </c>
      <c r="BX27" s="77">
        <f t="shared" si="4"/>
        <v>0</v>
      </c>
      <c r="BY27" s="77">
        <f t="shared" si="5"/>
        <v>4</v>
      </c>
    </row>
    <row r="28" spans="1:77" ht="17.25" customHeight="1">
      <c r="A28" s="139" t="s">
        <v>91</v>
      </c>
      <c r="B28" s="137" t="s">
        <v>92</v>
      </c>
      <c r="C28" s="74"/>
      <c r="D28" s="70"/>
      <c r="E28" s="371"/>
      <c r="F28" s="346" t="s">
        <v>46</v>
      </c>
      <c r="G28" s="70"/>
      <c r="H28" s="346" t="s">
        <v>46</v>
      </c>
      <c r="I28" s="346" t="s">
        <v>46</v>
      </c>
      <c r="J28" s="371"/>
      <c r="K28" s="876" t="s">
        <v>37</v>
      </c>
      <c r="L28" s="346" t="s">
        <v>46</v>
      </c>
      <c r="M28" s="484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645"/>
      <c r="BW28" s="76" t="str">
        <f t="shared" si="3"/>
        <v>Нет оценок</v>
      </c>
      <c r="BX28" s="77">
        <f t="shared" si="4"/>
        <v>0</v>
      </c>
      <c r="BY28" s="77">
        <f t="shared" si="5"/>
        <v>4</v>
      </c>
    </row>
    <row r="29" spans="1:77" ht="15.75">
      <c r="A29" s="165" t="s">
        <v>93</v>
      </c>
      <c r="B29" s="165" t="s">
        <v>94</v>
      </c>
      <c r="BW29" s="127">
        <f>IFERROR(AVERAGE(BW5:BW28),"")</f>
        <v>3.9814814814814818</v>
      </c>
      <c r="BX29" s="128">
        <f>SUM(BX5:BX28)</f>
        <v>1</v>
      </c>
      <c r="BY29" s="128">
        <f>SUM(BY5:BY28)</f>
        <v>63</v>
      </c>
    </row>
    <row r="30" spans="1:77" ht="15.75">
      <c r="A30" s="1377" t="s">
        <v>499</v>
      </c>
      <c r="B30" s="1378"/>
      <c r="C30" s="1378"/>
      <c r="D30" s="1378"/>
      <c r="E30" s="1378"/>
      <c r="F30" s="1378"/>
      <c r="G30" s="1378"/>
      <c r="H30" s="1378"/>
      <c r="I30" s="1378"/>
      <c r="J30" s="1378"/>
      <c r="K30" s="1378"/>
      <c r="L30" s="1378"/>
      <c r="M30" s="1378"/>
      <c r="N30" s="1378"/>
      <c r="O30" s="1378"/>
      <c r="P30" s="1378"/>
      <c r="Q30" s="1378"/>
      <c r="R30" s="1378"/>
      <c r="S30" s="1378"/>
      <c r="T30" s="1378"/>
      <c r="U30" s="1378"/>
      <c r="V30" s="1378"/>
      <c r="W30" s="1378"/>
      <c r="X30" s="1378"/>
      <c r="Y30" s="1378"/>
      <c r="Z30" s="1378"/>
      <c r="AA30" s="1378"/>
      <c r="AB30" s="1378"/>
      <c r="AC30" s="1378"/>
      <c r="AD30" s="1378"/>
      <c r="AE30" s="1378"/>
      <c r="AF30" s="1378"/>
      <c r="AG30" s="1378"/>
      <c r="AH30" s="1378"/>
      <c r="AI30" s="1378"/>
      <c r="AJ30" s="1378"/>
      <c r="AK30" s="1378"/>
      <c r="AL30" s="1378"/>
      <c r="AM30" s="1378"/>
      <c r="AN30" s="1378"/>
      <c r="AO30" s="1378"/>
      <c r="AP30" s="1378"/>
      <c r="AQ30" s="1378"/>
      <c r="AR30" s="1378"/>
      <c r="AS30" s="1378"/>
      <c r="AT30" s="1378"/>
      <c r="AU30" s="1378"/>
      <c r="BW30" s="288"/>
      <c r="BX30" s="289"/>
      <c r="BY30" s="289"/>
    </row>
    <row r="31" spans="1:77">
      <c r="A31" s="166" t="s">
        <v>500</v>
      </c>
      <c r="B31" s="166" t="s">
        <v>501</v>
      </c>
    </row>
    <row r="32" spans="1:77" ht="15.75">
      <c r="A32" s="166" t="s">
        <v>500</v>
      </c>
      <c r="B32" s="871" t="s">
        <v>502</v>
      </c>
    </row>
    <row r="33" spans="1:2">
      <c r="A33" s="166" t="s">
        <v>503</v>
      </c>
      <c r="B33" s="166" t="s">
        <v>504</v>
      </c>
    </row>
    <row r="34" spans="1:2">
      <c r="A34" s="166" t="s">
        <v>503</v>
      </c>
      <c r="B34" s="166" t="s">
        <v>505</v>
      </c>
    </row>
    <row r="35" spans="1:2" ht="18.75">
      <c r="A35" s="166" t="s">
        <v>506</v>
      </c>
      <c r="B35" s="908" t="s">
        <v>507</v>
      </c>
    </row>
    <row r="36" spans="1:2" ht="18.75">
      <c r="A36" s="166" t="s">
        <v>508</v>
      </c>
      <c r="B36" s="909" t="s">
        <v>509</v>
      </c>
    </row>
    <row r="37" spans="1:2">
      <c r="A37" s="166" t="s">
        <v>510</v>
      </c>
      <c r="B37" s="166" t="s">
        <v>511</v>
      </c>
    </row>
    <row r="38" spans="1:2">
      <c r="A38" s="166" t="s">
        <v>512</v>
      </c>
      <c r="B38" s="166" t="s">
        <v>513</v>
      </c>
    </row>
    <row r="39" spans="1:2">
      <c r="A39" s="166" t="s">
        <v>514</v>
      </c>
      <c r="B39" s="166" t="s">
        <v>515</v>
      </c>
    </row>
    <row r="40" spans="1:2" ht="15.75">
      <c r="A40" s="166" t="s">
        <v>516</v>
      </c>
      <c r="B40" s="910"/>
    </row>
    <row r="41" spans="1:2">
      <c r="A41" s="911" t="s">
        <v>517</v>
      </c>
      <c r="B41" s="166" t="s">
        <v>518</v>
      </c>
    </row>
    <row r="42" spans="1:2">
      <c r="A42" s="166"/>
      <c r="B42" s="166"/>
    </row>
    <row r="43" spans="1:2">
      <c r="A43" s="166"/>
      <c r="B43" s="166"/>
    </row>
    <row r="44" spans="1:2">
      <c r="A44" s="166"/>
      <c r="B44" s="166"/>
    </row>
    <row r="45" spans="1:2">
      <c r="A45" s="166"/>
      <c r="B45" s="166"/>
    </row>
    <row r="46" spans="1:2">
      <c r="A46" s="166"/>
      <c r="B46" s="166"/>
    </row>
    <row r="47" spans="1:2">
      <c r="A47" s="166"/>
      <c r="B47" s="166"/>
    </row>
    <row r="48" spans="1:2">
      <c r="A48" s="166"/>
      <c r="B48" s="166"/>
    </row>
    <row r="49" spans="1:2">
      <c r="A49" s="166"/>
      <c r="B49" s="166"/>
    </row>
    <row r="50" spans="1:2">
      <c r="A50" s="166"/>
      <c r="B50" s="166"/>
    </row>
    <row r="51" spans="1:2">
      <c r="A51" s="166"/>
      <c r="B51" s="166"/>
    </row>
    <row r="52" spans="1:2">
      <c r="A52" s="166"/>
      <c r="B52" s="166"/>
    </row>
    <row r="53" spans="1:2">
      <c r="A53" s="166"/>
      <c r="B53" s="166"/>
    </row>
    <row r="54" spans="1:2">
      <c r="A54" s="166"/>
      <c r="B54" s="166"/>
    </row>
    <row r="55" spans="1:2">
      <c r="A55" s="166"/>
      <c r="B55" s="166"/>
    </row>
    <row r="56" spans="1:2">
      <c r="A56" s="166"/>
      <c r="B56" s="166"/>
    </row>
    <row r="57" spans="1:2">
      <c r="A57" s="166"/>
      <c r="B57" s="166"/>
    </row>
    <row r="58" spans="1:2">
      <c r="A58" s="166"/>
      <c r="B58" s="166"/>
    </row>
    <row r="59" spans="1:2">
      <c r="A59" s="166"/>
      <c r="B59" s="166"/>
    </row>
    <row r="60" spans="1:2">
      <c r="A60" s="166"/>
      <c r="B60" s="166"/>
    </row>
    <row r="61" spans="1:2">
      <c r="A61" s="166"/>
      <c r="B61" s="166"/>
    </row>
    <row r="62" spans="1:2">
      <c r="A62" s="166"/>
      <c r="B62" s="166"/>
    </row>
    <row r="63" spans="1:2">
      <c r="A63" s="166"/>
      <c r="B63" s="166"/>
    </row>
    <row r="64" spans="1:2">
      <c r="A64" s="166"/>
      <c r="B64" s="166"/>
    </row>
    <row r="65" spans="1:2">
      <c r="A65" s="166"/>
      <c r="B65" s="166"/>
    </row>
    <row r="66" spans="1:2">
      <c r="A66" s="166"/>
      <c r="B66" s="166"/>
    </row>
    <row r="67" spans="1:2">
      <c r="A67" s="166"/>
      <c r="B67" s="166"/>
    </row>
  </sheetData>
  <mergeCells count="7">
    <mergeCell ref="BX3:BY3"/>
    <mergeCell ref="A30:AU30"/>
    <mergeCell ref="A1:B1"/>
    <mergeCell ref="C1:BV1"/>
    <mergeCell ref="A2:B2"/>
    <mergeCell ref="C2:BV2"/>
    <mergeCell ref="A3:A4"/>
  </mergeCells>
  <conditionalFormatting sqref="BY5:BY25 BY27:BY28">
    <cfRule type="cellIs" dxfId="34" priority="2" operator="greaterThan">
      <formula>0</formula>
    </cfRule>
  </conditionalFormatting>
  <conditionalFormatting sqref="BW5:BW25 BW27:BW29">
    <cfRule type="cellIs" dxfId="33" priority="1" operator="lessThan">
      <formula>3</formula>
    </cfRule>
  </conditionalFormatting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6"/>
  <sheetViews>
    <sheetView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customWidth="1"/>
    <col min="2" max="2" width="34.44140625" customWidth="1"/>
    <col min="3" max="26" width="2.77734375" customWidth="1"/>
    <col min="27" max="27" width="10.6640625" customWidth="1"/>
    <col min="28" max="29" width="8.109375" customWidth="1"/>
  </cols>
  <sheetData>
    <row r="1" spans="1:29" ht="27.75">
      <c r="A1" s="1277" t="s">
        <v>38</v>
      </c>
      <c r="B1" s="1277"/>
      <c r="C1" s="1276" t="s">
        <v>25</v>
      </c>
      <c r="D1" s="1276"/>
      <c r="E1" s="1276"/>
      <c r="F1" s="1276"/>
      <c r="G1" s="1276"/>
      <c r="H1" s="1276"/>
      <c r="I1" s="1276"/>
      <c r="J1" s="1276"/>
      <c r="K1" s="1276"/>
      <c r="L1" s="1276"/>
      <c r="M1" s="1276"/>
      <c r="N1" s="1276"/>
      <c r="O1" s="1276"/>
      <c r="P1" s="1276"/>
      <c r="Q1" s="1276"/>
      <c r="R1" s="1276"/>
      <c r="S1" s="1276"/>
      <c r="T1" s="1276"/>
      <c r="U1" s="1276"/>
      <c r="V1" s="1276"/>
      <c r="W1" s="1276"/>
      <c r="X1" s="1276"/>
      <c r="Y1" s="1276"/>
      <c r="Z1" s="1276"/>
    </row>
    <row r="2" spans="1:29" ht="27.75">
      <c r="A2" s="1277" t="s">
        <v>39</v>
      </c>
      <c r="B2" s="1277"/>
      <c r="C2" s="1277"/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32"/>
      <c r="AB2" s="32"/>
      <c r="AC2" s="32"/>
    </row>
    <row r="3" spans="1:29" ht="15.75">
      <c r="A3" s="1281" t="s">
        <v>41</v>
      </c>
      <c r="B3" s="129" t="s">
        <v>42</v>
      </c>
      <c r="C3" s="130"/>
      <c r="D3" s="42"/>
      <c r="E3" s="593"/>
      <c r="F3" s="593"/>
      <c r="G3" s="593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5"/>
      <c r="AB3" s="1278" t="s">
        <v>0</v>
      </c>
      <c r="AC3" s="1279"/>
    </row>
    <row r="4" spans="1:29" ht="15.75">
      <c r="A4" s="1282"/>
      <c r="B4" s="132" t="s">
        <v>43</v>
      </c>
      <c r="C4" s="133"/>
      <c r="D4" s="57"/>
      <c r="E4" s="176"/>
      <c r="F4" s="176"/>
      <c r="G4" s="176"/>
      <c r="H4" s="176"/>
      <c r="I4" s="176"/>
      <c r="J4" s="176"/>
      <c r="K4" s="176"/>
      <c r="L4" s="176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45" t="s">
        <v>33</v>
      </c>
      <c r="AB4" s="60" t="s">
        <v>5</v>
      </c>
      <c r="AC4" s="60" t="s">
        <v>6</v>
      </c>
    </row>
    <row r="5" spans="1:29" ht="16.5" customHeight="1">
      <c r="A5" s="136" t="s">
        <v>44</v>
      </c>
      <c r="B5" s="912" t="s">
        <v>50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76" t="str">
        <f t="shared" ref="AA5:AA9" si="0">IFERROR(AVERAGE(C5:Z5),"Нет оценок")</f>
        <v>Нет оценок</v>
      </c>
      <c r="AB5" s="77">
        <f t="shared" ref="AB5:AB9" si="1">COUNTIF(C5:Z5,"н/у")</f>
        <v>0</v>
      </c>
      <c r="AC5" s="77">
        <f t="shared" ref="AC5:AC9" si="2">COUNTIF(C5:Z5,"н")</f>
        <v>0</v>
      </c>
    </row>
    <row r="6" spans="1:29" ht="16.5" customHeight="1">
      <c r="A6" s="139" t="s">
        <v>49</v>
      </c>
      <c r="B6" s="137" t="s">
        <v>45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6" t="str">
        <f t="shared" si="0"/>
        <v>Нет оценок</v>
      </c>
      <c r="AB6" s="77">
        <f t="shared" si="1"/>
        <v>0</v>
      </c>
      <c r="AC6" s="77">
        <f t="shared" si="2"/>
        <v>0</v>
      </c>
    </row>
    <row r="7" spans="1:29" ht="16.5" customHeight="1">
      <c r="A7" s="204" t="s">
        <v>51</v>
      </c>
      <c r="B7" s="137" t="s">
        <v>52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6" t="str">
        <f t="shared" si="0"/>
        <v>Нет оценок</v>
      </c>
      <c r="AB7" s="77">
        <f t="shared" si="1"/>
        <v>0</v>
      </c>
      <c r="AC7" s="77">
        <f t="shared" si="2"/>
        <v>0</v>
      </c>
    </row>
    <row r="8" spans="1:29" ht="16.5" customHeight="1">
      <c r="A8" s="144" t="s">
        <v>53</v>
      </c>
      <c r="B8" s="137" t="s">
        <v>54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6" t="str">
        <f t="shared" si="0"/>
        <v>Нет оценок</v>
      </c>
      <c r="AB8" s="77">
        <f t="shared" si="1"/>
        <v>0</v>
      </c>
      <c r="AC8" s="77">
        <f t="shared" si="2"/>
        <v>0</v>
      </c>
    </row>
    <row r="9" spans="1:29" ht="16.5" customHeight="1">
      <c r="A9" s="146" t="s">
        <v>55</v>
      </c>
      <c r="B9" s="147" t="s">
        <v>56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76" t="str">
        <f t="shared" si="0"/>
        <v>Нет оценок</v>
      </c>
      <c r="AB9" s="77">
        <f t="shared" si="1"/>
        <v>0</v>
      </c>
      <c r="AC9" s="77">
        <f t="shared" si="2"/>
        <v>0</v>
      </c>
    </row>
    <row r="10" spans="1:29" ht="16.5" customHeight="1">
      <c r="A10" s="149" t="s">
        <v>57</v>
      </c>
      <c r="B10" s="150" t="s">
        <v>58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76" t="str">
        <f t="shared" ref="AA10:AA28" si="3">IFERROR(AVERAGE(C10:Z10),"Нет оценок")</f>
        <v>Нет оценок</v>
      </c>
      <c r="AB10" s="77">
        <f t="shared" ref="AB10:AB28" si="4">COUNTIF(C10:Z10,"н/у")</f>
        <v>0</v>
      </c>
      <c r="AC10" s="77">
        <f t="shared" ref="AC10:AC28" si="5">COUNTIF(C10:Z10,"н")</f>
        <v>0</v>
      </c>
    </row>
    <row r="11" spans="1:29" ht="16.5" customHeight="1">
      <c r="A11" s="144" t="s">
        <v>59</v>
      </c>
      <c r="B11" s="137" t="s">
        <v>60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6" t="str">
        <f t="shared" si="3"/>
        <v>Нет оценок</v>
      </c>
      <c r="AB11" s="77">
        <f t="shared" si="4"/>
        <v>0</v>
      </c>
      <c r="AC11" s="77">
        <f t="shared" si="5"/>
        <v>0</v>
      </c>
    </row>
    <row r="12" spans="1:29" ht="16.5" customHeight="1">
      <c r="A12" s="144" t="s">
        <v>61</v>
      </c>
      <c r="B12" s="137" t="s">
        <v>62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6" t="str">
        <f t="shared" si="3"/>
        <v>Нет оценок</v>
      </c>
      <c r="AB12" s="77">
        <f t="shared" si="4"/>
        <v>0</v>
      </c>
      <c r="AC12" s="77">
        <f t="shared" si="5"/>
        <v>0</v>
      </c>
    </row>
    <row r="13" spans="1:29" ht="16.5" customHeight="1">
      <c r="A13" s="144" t="s">
        <v>63</v>
      </c>
      <c r="B13" s="150" t="s">
        <v>64</v>
      </c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76" t="str">
        <f t="shared" si="3"/>
        <v>Нет оценок</v>
      </c>
      <c r="AB13" s="77">
        <f t="shared" si="4"/>
        <v>0</v>
      </c>
      <c r="AC13" s="77">
        <f t="shared" si="5"/>
        <v>0</v>
      </c>
    </row>
    <row r="14" spans="1:29" ht="16.5" customHeight="1">
      <c r="A14" s="146" t="s">
        <v>65</v>
      </c>
      <c r="B14" s="151" t="s">
        <v>66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76" t="str">
        <f t="shared" si="3"/>
        <v>Нет оценок</v>
      </c>
      <c r="AB14" s="77">
        <f t="shared" si="4"/>
        <v>0</v>
      </c>
      <c r="AC14" s="77">
        <f t="shared" si="5"/>
        <v>0</v>
      </c>
    </row>
    <row r="15" spans="1:29" ht="16.5" customHeight="1">
      <c r="A15" s="149" t="s">
        <v>67</v>
      </c>
      <c r="B15" s="150" t="s">
        <v>68</v>
      </c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76" t="str">
        <f t="shared" si="3"/>
        <v>Нет оценок</v>
      </c>
      <c r="AB15" s="77">
        <f t="shared" si="4"/>
        <v>0</v>
      </c>
      <c r="AC15" s="77">
        <f t="shared" si="5"/>
        <v>0</v>
      </c>
    </row>
    <row r="16" spans="1:29" ht="16.5" customHeight="1">
      <c r="A16" s="144" t="s">
        <v>69</v>
      </c>
      <c r="B16" s="137" t="s">
        <v>70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6" t="str">
        <f t="shared" si="3"/>
        <v>Нет оценок</v>
      </c>
      <c r="AB16" s="77">
        <f t="shared" si="4"/>
        <v>0</v>
      </c>
      <c r="AC16" s="77">
        <f t="shared" si="5"/>
        <v>0</v>
      </c>
    </row>
    <row r="17" spans="1:29" ht="16.5" customHeight="1">
      <c r="A17" s="144" t="s">
        <v>71</v>
      </c>
      <c r="B17" s="137" t="s">
        <v>72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6" t="str">
        <f t="shared" si="3"/>
        <v>Нет оценок</v>
      </c>
      <c r="AB17" s="77">
        <f t="shared" si="4"/>
        <v>0</v>
      </c>
      <c r="AC17" s="77">
        <f t="shared" si="5"/>
        <v>0</v>
      </c>
    </row>
    <row r="18" spans="1:29" ht="16.5" customHeight="1">
      <c r="A18" s="144" t="s">
        <v>73</v>
      </c>
      <c r="B18" s="150" t="s">
        <v>74</v>
      </c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76" t="str">
        <f t="shared" si="3"/>
        <v>Нет оценок</v>
      </c>
      <c r="AB18" s="77">
        <f t="shared" si="4"/>
        <v>0</v>
      </c>
      <c r="AC18" s="77">
        <f t="shared" si="5"/>
        <v>0</v>
      </c>
    </row>
    <row r="19" spans="1:29" ht="16.5" customHeight="1">
      <c r="A19" s="146" t="s">
        <v>75</v>
      </c>
      <c r="B19" s="151" t="s">
        <v>76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76" t="str">
        <f t="shared" si="3"/>
        <v>Нет оценок</v>
      </c>
      <c r="AB19" s="77">
        <f t="shared" si="4"/>
        <v>0</v>
      </c>
      <c r="AC19" s="77">
        <f t="shared" si="5"/>
        <v>0</v>
      </c>
    </row>
    <row r="20" spans="1:29" ht="16.5" customHeight="1">
      <c r="A20" s="149" t="s">
        <v>77</v>
      </c>
      <c r="B20" s="150" t="s">
        <v>78</v>
      </c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76" t="str">
        <f t="shared" si="3"/>
        <v>Нет оценок</v>
      </c>
      <c r="AB20" s="77">
        <f t="shared" si="4"/>
        <v>0</v>
      </c>
      <c r="AC20" s="77">
        <f t="shared" si="5"/>
        <v>0</v>
      </c>
    </row>
    <row r="21" spans="1:29" ht="16.5" customHeight="1">
      <c r="A21" s="144" t="s">
        <v>79</v>
      </c>
      <c r="B21" s="137" t="s">
        <v>80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6" t="str">
        <f t="shared" si="3"/>
        <v>Нет оценок</v>
      </c>
      <c r="AB21" s="77">
        <f t="shared" si="4"/>
        <v>0</v>
      </c>
      <c r="AC21" s="77">
        <f t="shared" si="5"/>
        <v>0</v>
      </c>
    </row>
    <row r="22" spans="1:29" ht="16.5" customHeight="1">
      <c r="A22" s="144" t="s">
        <v>81</v>
      </c>
      <c r="B22" s="137" t="s">
        <v>82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6" t="str">
        <f t="shared" si="3"/>
        <v>Нет оценок</v>
      </c>
      <c r="AB22" s="77">
        <f t="shared" si="4"/>
        <v>0</v>
      </c>
      <c r="AC22" s="77">
        <f t="shared" si="5"/>
        <v>0</v>
      </c>
    </row>
    <row r="23" spans="1:29" ht="16.5" customHeight="1">
      <c r="A23" s="144" t="s">
        <v>83</v>
      </c>
      <c r="B23" s="150" t="s">
        <v>84</v>
      </c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76" t="str">
        <f t="shared" si="3"/>
        <v>Нет оценок</v>
      </c>
      <c r="AB23" s="77">
        <f t="shared" si="4"/>
        <v>0</v>
      </c>
      <c r="AC23" s="77">
        <f t="shared" si="5"/>
        <v>0</v>
      </c>
    </row>
    <row r="24" spans="1:29" ht="16.5" customHeight="1">
      <c r="A24" s="154" t="s">
        <v>27</v>
      </c>
      <c r="B24" s="151" t="s">
        <v>85</v>
      </c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76" t="str">
        <f t="shared" si="3"/>
        <v>Нет оценок</v>
      </c>
      <c r="AB24" s="77">
        <f t="shared" si="4"/>
        <v>0</v>
      </c>
      <c r="AC24" s="77">
        <f t="shared" si="5"/>
        <v>0</v>
      </c>
    </row>
    <row r="25" spans="1:29" ht="16.5" customHeight="1">
      <c r="A25" s="156" t="s">
        <v>86</v>
      </c>
      <c r="B25" s="150" t="s">
        <v>87</v>
      </c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76" t="str">
        <f t="shared" si="3"/>
        <v>Нет оценок</v>
      </c>
      <c r="AB25" s="77">
        <f t="shared" si="4"/>
        <v>0</v>
      </c>
      <c r="AC25" s="77">
        <f t="shared" si="5"/>
        <v>0</v>
      </c>
    </row>
    <row r="26" spans="1:29" ht="16.5" hidden="1" customHeight="1">
      <c r="A26" s="139" t="s">
        <v>86</v>
      </c>
      <c r="B26" s="137" t="s">
        <v>88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6" t="str">
        <f t="shared" si="3"/>
        <v>Нет оценок</v>
      </c>
      <c r="AB26" s="77">
        <f t="shared" si="4"/>
        <v>0</v>
      </c>
      <c r="AC26" s="77">
        <f t="shared" si="5"/>
        <v>0</v>
      </c>
    </row>
    <row r="27" spans="1:29" ht="16.5" customHeight="1">
      <c r="A27" s="139" t="s">
        <v>89</v>
      </c>
      <c r="B27" s="137" t="s">
        <v>90</v>
      </c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76" t="str">
        <f t="shared" si="3"/>
        <v>Нет оценок</v>
      </c>
      <c r="AB27" s="77">
        <f t="shared" si="4"/>
        <v>0</v>
      </c>
      <c r="AC27" s="77">
        <f t="shared" si="5"/>
        <v>0</v>
      </c>
    </row>
    <row r="28" spans="1:29" ht="18.75" customHeight="1">
      <c r="A28" s="139" t="s">
        <v>91</v>
      </c>
      <c r="B28" s="137" t="s">
        <v>92</v>
      </c>
      <c r="C28" s="74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913" t="str">
        <f t="shared" si="3"/>
        <v>Нет оценок</v>
      </c>
      <c r="AB28" s="77">
        <f t="shared" si="4"/>
        <v>0</v>
      </c>
      <c r="AC28" s="77">
        <f t="shared" si="5"/>
        <v>0</v>
      </c>
    </row>
    <row r="29" spans="1:29" ht="15.75">
      <c r="A29" s="165" t="s">
        <v>93</v>
      </c>
      <c r="B29" s="165" t="s">
        <v>94</v>
      </c>
      <c r="AA29" s="127" t="str">
        <f>IFERROR(AVERAGE(AA5:AA28),"")</f>
        <v/>
      </c>
      <c r="AB29" s="128">
        <f>SUM(AB5:AB28)</f>
        <v>0</v>
      </c>
      <c r="AC29" s="128">
        <f>SUM(AC5:AC28)</f>
        <v>0</v>
      </c>
    </row>
    <row r="30" spans="1:29">
      <c r="A30" s="166"/>
      <c r="B30" s="914"/>
    </row>
    <row r="31" spans="1:29">
      <c r="A31" s="166"/>
    </row>
    <row r="32" spans="1:29">
      <c r="A32" s="166"/>
      <c r="B32" s="166"/>
    </row>
    <row r="33" spans="1:2">
      <c r="A33" s="166"/>
      <c r="B33" s="166"/>
    </row>
    <row r="34" spans="1:2">
      <c r="A34" s="166"/>
      <c r="B34" s="166"/>
    </row>
    <row r="35" spans="1:2">
      <c r="A35" s="166"/>
      <c r="B35" s="166"/>
    </row>
    <row r="36" spans="1:2">
      <c r="A36" s="166"/>
      <c r="B36" s="166"/>
    </row>
    <row r="37" spans="1:2">
      <c r="A37" s="166"/>
      <c r="B37" s="166"/>
    </row>
    <row r="38" spans="1:2">
      <c r="A38" s="166"/>
      <c r="B38" s="166"/>
    </row>
    <row r="39" spans="1:2">
      <c r="A39" s="166"/>
      <c r="B39" s="166"/>
    </row>
    <row r="40" spans="1:2">
      <c r="A40" s="166"/>
      <c r="B40" s="166"/>
    </row>
    <row r="41" spans="1:2">
      <c r="A41" s="166"/>
      <c r="B41" s="166"/>
    </row>
    <row r="42" spans="1:2">
      <c r="A42" s="166"/>
      <c r="B42" s="166"/>
    </row>
    <row r="43" spans="1:2">
      <c r="A43" s="166"/>
      <c r="B43" s="166"/>
    </row>
    <row r="44" spans="1:2">
      <c r="A44" s="166"/>
      <c r="B44" s="166"/>
    </row>
    <row r="45" spans="1:2">
      <c r="A45" s="166"/>
      <c r="B45" s="166"/>
    </row>
    <row r="46" spans="1:2">
      <c r="A46" s="166"/>
      <c r="B46" s="166"/>
    </row>
    <row r="47" spans="1:2">
      <c r="A47" s="166"/>
      <c r="B47" s="166"/>
    </row>
    <row r="48" spans="1:2">
      <c r="A48" s="166"/>
      <c r="B48" s="166"/>
    </row>
    <row r="49" spans="1:2">
      <c r="A49" s="166"/>
      <c r="B49" s="166"/>
    </row>
    <row r="50" spans="1:2">
      <c r="A50" s="166"/>
      <c r="B50" s="166"/>
    </row>
    <row r="51" spans="1:2">
      <c r="A51" s="166"/>
      <c r="B51" s="166"/>
    </row>
    <row r="52" spans="1:2">
      <c r="A52" s="166"/>
      <c r="B52" s="166"/>
    </row>
    <row r="53" spans="1:2">
      <c r="A53" s="166"/>
      <c r="B53" s="166"/>
    </row>
    <row r="54" spans="1:2">
      <c r="A54" s="166"/>
      <c r="B54" s="166"/>
    </row>
    <row r="55" spans="1:2">
      <c r="A55" s="166"/>
      <c r="B55" s="166"/>
    </row>
    <row r="56" spans="1:2">
      <c r="A56" s="166"/>
      <c r="B56" s="166"/>
    </row>
    <row r="57" spans="1:2">
      <c r="A57" s="166"/>
      <c r="B57" s="166"/>
    </row>
    <row r="58" spans="1:2">
      <c r="A58" s="166"/>
      <c r="B58" s="166"/>
    </row>
    <row r="59" spans="1:2">
      <c r="A59" s="166"/>
      <c r="B59" s="166"/>
    </row>
    <row r="60" spans="1:2">
      <c r="A60" s="166"/>
      <c r="B60" s="166"/>
    </row>
    <row r="61" spans="1:2">
      <c r="A61" s="166"/>
      <c r="B61" s="166"/>
    </row>
    <row r="62" spans="1:2">
      <c r="A62" s="166"/>
      <c r="B62" s="166"/>
    </row>
    <row r="63" spans="1:2">
      <c r="A63" s="166"/>
      <c r="B63" s="166"/>
    </row>
    <row r="64" spans="1:2">
      <c r="A64" s="166"/>
      <c r="B64" s="166"/>
    </row>
    <row r="65" spans="1:2">
      <c r="A65" s="166"/>
      <c r="B65" s="166"/>
    </row>
    <row r="66" spans="1:2">
      <c r="A66" s="166"/>
      <c r="B66" s="166"/>
    </row>
  </sheetData>
  <mergeCells count="6">
    <mergeCell ref="AB3:AC3"/>
    <mergeCell ref="A1:B1"/>
    <mergeCell ref="C1:Z1"/>
    <mergeCell ref="A2:B2"/>
    <mergeCell ref="C2:Z2"/>
    <mergeCell ref="A3:A4"/>
  </mergeCells>
  <conditionalFormatting sqref="AC5:AC28">
    <cfRule type="cellIs" dxfId="32" priority="3" operator="greaterThan">
      <formula>0</formula>
    </cfRule>
  </conditionalFormatting>
  <conditionalFormatting sqref="AA5:AA29">
    <cfRule type="cellIs" dxfId="31" priority="1" operator="lessThan">
      <formula>3</formula>
    </cfRule>
  </conditionalFormatting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AR100"/>
  <sheetViews>
    <sheetView workbookViewId="0">
      <pane xSplit="2" ySplit="2" topLeftCell="C3" activePane="bottomRight" state="frozen"/>
      <selection activeCell="AQ26" sqref="AQ26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style="915" customWidth="1"/>
    <col min="2" max="2" width="34.44140625" customWidth="1"/>
    <col min="3" max="40" width="2.77734375" customWidth="1"/>
    <col min="41" max="41" width="6.6640625" customWidth="1"/>
    <col min="42" max="42" width="10.6640625" customWidth="1"/>
    <col min="43" max="44" width="8.109375" customWidth="1"/>
  </cols>
  <sheetData>
    <row r="1" spans="1:44" ht="27.75" customHeight="1">
      <c r="A1" s="1379" t="s">
        <v>38</v>
      </c>
      <c r="B1" s="1379"/>
      <c r="C1" s="1276" t="s">
        <v>28</v>
      </c>
      <c r="D1" s="1276"/>
      <c r="E1" s="1276"/>
      <c r="F1" s="1276"/>
      <c r="G1" s="1276"/>
      <c r="H1" s="1276"/>
      <c r="I1" s="1276"/>
      <c r="J1" s="1276"/>
      <c r="K1" s="1276"/>
      <c r="L1" s="1276"/>
      <c r="M1" s="1276"/>
      <c r="N1" s="1276"/>
      <c r="O1" s="1276"/>
      <c r="P1" s="1276"/>
      <c r="Q1" s="1276"/>
      <c r="R1" s="1276"/>
      <c r="S1" s="1276"/>
      <c r="T1" s="1276"/>
      <c r="U1" s="1276"/>
      <c r="V1" s="1276"/>
      <c r="W1" s="1276"/>
      <c r="X1" s="1276"/>
      <c r="Y1" s="1276"/>
      <c r="Z1" s="1276"/>
      <c r="AA1" s="1276"/>
      <c r="AB1" s="1276"/>
      <c r="AC1" s="1276"/>
      <c r="AD1" s="1276"/>
      <c r="AE1" s="1276"/>
      <c r="AF1" s="1276"/>
      <c r="AG1" s="1276"/>
      <c r="AH1" s="1276"/>
      <c r="AI1" s="1276"/>
      <c r="AJ1" s="1276"/>
      <c r="AK1" s="1276"/>
      <c r="AL1" s="1276"/>
      <c r="AM1" s="1276"/>
      <c r="AN1" s="1276"/>
      <c r="AO1" s="29"/>
    </row>
    <row r="2" spans="1:44" ht="24.75" customHeight="1">
      <c r="A2" s="1379" t="s">
        <v>39</v>
      </c>
      <c r="B2" s="1379"/>
      <c r="C2" s="1277" t="s">
        <v>519</v>
      </c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1277"/>
      <c r="AD2" s="1277"/>
      <c r="AE2" s="1277"/>
      <c r="AF2" s="1277"/>
      <c r="AG2" s="1277"/>
      <c r="AH2" s="1277"/>
      <c r="AI2" s="1277"/>
      <c r="AJ2" s="1277"/>
      <c r="AK2" s="1277"/>
      <c r="AL2" s="1277"/>
      <c r="AM2" s="1277"/>
      <c r="AN2" s="1277"/>
      <c r="AO2" s="31"/>
      <c r="AP2" s="32"/>
      <c r="AQ2" s="32"/>
      <c r="AR2" s="32"/>
    </row>
    <row r="3" spans="1:44" ht="15.75">
      <c r="A3" s="1380" t="s">
        <v>41</v>
      </c>
      <c r="B3" s="449" t="s">
        <v>42</v>
      </c>
      <c r="C3" s="1382" t="s">
        <v>520</v>
      </c>
      <c r="D3" s="1383"/>
      <c r="E3" s="1383"/>
      <c r="F3" s="1383"/>
      <c r="G3" s="1383"/>
      <c r="H3" s="1383"/>
      <c r="I3" s="1383"/>
      <c r="J3" s="1383"/>
      <c r="K3" s="1383"/>
      <c r="L3" s="1384"/>
      <c r="M3" s="1385" t="s">
        <v>147</v>
      </c>
      <c r="N3" s="1386"/>
      <c r="O3" s="1387"/>
      <c r="P3" s="1388" t="s">
        <v>150</v>
      </c>
      <c r="Q3" s="1389"/>
      <c r="R3" s="1389"/>
      <c r="S3" s="1389"/>
      <c r="T3" s="1390"/>
      <c r="U3" s="1391" t="s">
        <v>151</v>
      </c>
      <c r="V3" s="1392"/>
      <c r="W3" s="1392"/>
      <c r="X3" s="1392"/>
      <c r="Y3" s="1392"/>
      <c r="Z3" s="1392"/>
      <c r="AA3" s="1393"/>
      <c r="AB3" s="1394" t="s">
        <v>456</v>
      </c>
      <c r="AC3" s="1395"/>
      <c r="AD3" s="1396"/>
      <c r="AE3" s="1397" t="s">
        <v>153</v>
      </c>
      <c r="AF3" s="1398"/>
      <c r="AG3" s="1399"/>
      <c r="AH3" s="916"/>
      <c r="AI3" s="917"/>
      <c r="AJ3" s="917"/>
      <c r="AK3" s="917"/>
      <c r="AL3" s="917"/>
      <c r="AM3" s="917"/>
      <c r="AN3" s="917"/>
      <c r="AO3" s="316" t="s">
        <v>207</v>
      </c>
      <c r="AP3" s="45"/>
      <c r="AQ3" s="1278" t="s">
        <v>0</v>
      </c>
      <c r="AR3" s="1279"/>
    </row>
    <row r="4" spans="1:44" ht="15.75">
      <c r="A4" s="1381"/>
      <c r="B4" s="132" t="s">
        <v>43</v>
      </c>
      <c r="C4" s="918">
        <v>3</v>
      </c>
      <c r="D4" s="919">
        <v>3</v>
      </c>
      <c r="E4" s="920">
        <v>9</v>
      </c>
      <c r="F4" s="919">
        <v>10</v>
      </c>
      <c r="G4" s="919">
        <v>12</v>
      </c>
      <c r="H4" s="919">
        <v>15</v>
      </c>
      <c r="I4" s="919">
        <v>18</v>
      </c>
      <c r="J4" s="919">
        <v>22</v>
      </c>
      <c r="K4" s="919">
        <v>22</v>
      </c>
      <c r="L4" s="921">
        <v>26</v>
      </c>
      <c r="M4" s="918">
        <v>6</v>
      </c>
      <c r="N4" s="919">
        <v>6</v>
      </c>
      <c r="O4" s="921">
        <v>10</v>
      </c>
      <c r="P4" s="922">
        <v>14</v>
      </c>
      <c r="Q4" s="923">
        <v>16</v>
      </c>
      <c r="R4" s="923">
        <v>19</v>
      </c>
      <c r="S4" s="924">
        <v>23</v>
      </c>
      <c r="T4" s="925">
        <v>28</v>
      </c>
      <c r="U4" s="918">
        <v>6</v>
      </c>
      <c r="V4" s="919">
        <v>9</v>
      </c>
      <c r="W4" s="919">
        <v>11</v>
      </c>
      <c r="X4" s="919">
        <v>14</v>
      </c>
      <c r="Y4" s="920">
        <v>25</v>
      </c>
      <c r="Z4" s="919">
        <v>26</v>
      </c>
      <c r="AA4" s="921">
        <v>27</v>
      </c>
      <c r="AB4" s="926">
        <v>6</v>
      </c>
      <c r="AC4" s="923">
        <v>13</v>
      </c>
      <c r="AD4" s="925">
        <v>30</v>
      </c>
      <c r="AE4" s="927">
        <v>1</v>
      </c>
      <c r="AF4" s="919">
        <v>10</v>
      </c>
      <c r="AG4" s="919">
        <v>11</v>
      </c>
      <c r="AH4" s="928"/>
      <c r="AI4" s="928"/>
      <c r="AJ4" s="928"/>
      <c r="AK4" s="928"/>
      <c r="AL4" s="928"/>
      <c r="AM4" s="928"/>
      <c r="AN4" s="928"/>
      <c r="AO4" s="318" t="s">
        <v>32</v>
      </c>
      <c r="AP4" s="45" t="s">
        <v>33</v>
      </c>
      <c r="AQ4" s="60" t="s">
        <v>5</v>
      </c>
      <c r="AR4" s="60" t="s">
        <v>6</v>
      </c>
    </row>
    <row r="5" spans="1:44" ht="16.5" customHeight="1">
      <c r="A5" s="136" t="s">
        <v>44</v>
      </c>
      <c r="B5" s="137" t="s">
        <v>45</v>
      </c>
      <c r="C5" s="61"/>
      <c r="D5" s="70"/>
      <c r="E5" s="929" t="s">
        <v>46</v>
      </c>
      <c r="F5" s="929" t="s">
        <v>46</v>
      </c>
      <c r="G5" s="929" t="s">
        <v>46</v>
      </c>
      <c r="H5" s="70"/>
      <c r="I5" s="70">
        <v>2</v>
      </c>
      <c r="J5" s="929" t="s">
        <v>46</v>
      </c>
      <c r="K5" s="929" t="s">
        <v>46</v>
      </c>
      <c r="L5" s="930" t="s">
        <v>46</v>
      </c>
      <c r="M5" s="61"/>
      <c r="N5" s="70"/>
      <c r="O5" s="930" t="s">
        <v>46</v>
      </c>
      <c r="P5" s="61"/>
      <c r="Q5" s="70"/>
      <c r="R5" s="931">
        <v>5</v>
      </c>
      <c r="S5" s="932" t="s">
        <v>46</v>
      </c>
      <c r="T5" s="735"/>
      <c r="U5" s="933">
        <v>5</v>
      </c>
      <c r="V5" s="70" t="s">
        <v>351</v>
      </c>
      <c r="W5" s="70" t="s">
        <v>37</v>
      </c>
      <c r="X5" s="70" t="s">
        <v>46</v>
      </c>
      <c r="Y5" s="70" t="s">
        <v>46</v>
      </c>
      <c r="Z5" s="70" t="s">
        <v>46</v>
      </c>
      <c r="AA5" s="735" t="s">
        <v>46</v>
      </c>
      <c r="AB5" s="78" t="s">
        <v>46</v>
      </c>
      <c r="AC5" s="82" t="s">
        <v>46</v>
      </c>
      <c r="AD5" s="934" t="s">
        <v>46</v>
      </c>
      <c r="AE5" s="74"/>
      <c r="AF5" s="70"/>
      <c r="AG5" s="70"/>
      <c r="AH5" s="70"/>
      <c r="AI5" s="70"/>
      <c r="AJ5" s="70"/>
      <c r="AK5" s="70"/>
      <c r="AL5" s="70"/>
      <c r="AM5" s="70"/>
      <c r="AN5" s="70"/>
      <c r="AO5" s="618"/>
      <c r="AP5" s="76">
        <f t="shared" ref="AP5:AP9" si="0">IFERROR(AVERAGE(C5:AO5),"Нет оценок")</f>
        <v>4</v>
      </c>
      <c r="AQ5" s="77">
        <f t="shared" ref="AQ5:AQ9" si="1">COUNTIF(C5:AO5,"н/у")</f>
        <v>0</v>
      </c>
      <c r="AR5" s="77">
        <f t="shared" ref="AR5:AR9" si="2">COUNTIF(C5:AO5,"н")</f>
        <v>15</v>
      </c>
    </row>
    <row r="6" spans="1:44" ht="16.5" customHeight="1">
      <c r="A6" s="139" t="s">
        <v>49</v>
      </c>
      <c r="B6" s="140" t="s">
        <v>50</v>
      </c>
      <c r="C6" s="532"/>
      <c r="D6" s="96"/>
      <c r="E6" s="96"/>
      <c r="F6" s="96"/>
      <c r="G6" s="96"/>
      <c r="H6" s="96"/>
      <c r="I6" s="96">
        <v>4</v>
      </c>
      <c r="J6" s="96">
        <v>5</v>
      </c>
      <c r="K6" s="96">
        <v>2</v>
      </c>
      <c r="L6" s="734"/>
      <c r="M6" s="532"/>
      <c r="N6" s="96"/>
      <c r="O6" s="734"/>
      <c r="P6" s="532"/>
      <c r="Q6" s="96"/>
      <c r="R6" s="353">
        <v>5</v>
      </c>
      <c r="S6" s="935">
        <v>5</v>
      </c>
      <c r="T6" s="734">
        <v>4</v>
      </c>
      <c r="U6" s="936">
        <v>4</v>
      </c>
      <c r="V6" s="937">
        <v>5</v>
      </c>
      <c r="W6" s="96" t="s">
        <v>46</v>
      </c>
      <c r="X6" s="96">
        <v>2</v>
      </c>
      <c r="Y6" s="96"/>
      <c r="Z6" s="96">
        <v>5</v>
      </c>
      <c r="AA6" s="734" t="s">
        <v>351</v>
      </c>
      <c r="AB6" s="532"/>
      <c r="AC6" s="96" t="s">
        <v>351</v>
      </c>
      <c r="AD6" s="734">
        <v>5</v>
      </c>
      <c r="AE6" s="108"/>
      <c r="AF6" s="96"/>
      <c r="AG6" s="96"/>
      <c r="AH6" s="96"/>
      <c r="AI6" s="96"/>
      <c r="AJ6" s="96"/>
      <c r="AK6" s="96"/>
      <c r="AL6" s="96"/>
      <c r="AM6" s="96"/>
      <c r="AN6" s="96"/>
      <c r="AO6" s="624"/>
      <c r="AP6" s="76">
        <f t="shared" si="0"/>
        <v>4.1818181818181817</v>
      </c>
      <c r="AQ6" s="77">
        <f t="shared" si="1"/>
        <v>0</v>
      </c>
      <c r="AR6" s="77">
        <f t="shared" si="2"/>
        <v>1</v>
      </c>
    </row>
    <row r="7" spans="1:44" ht="16.5" customHeight="1">
      <c r="A7" s="204" t="s">
        <v>51</v>
      </c>
      <c r="B7" s="137" t="s">
        <v>52</v>
      </c>
      <c r="C7" s="61"/>
      <c r="D7" s="70"/>
      <c r="E7" s="70"/>
      <c r="F7" s="70"/>
      <c r="G7" s="70"/>
      <c r="H7" s="70"/>
      <c r="I7" s="70">
        <v>5</v>
      </c>
      <c r="J7" s="70">
        <v>5</v>
      </c>
      <c r="K7" s="70">
        <v>5</v>
      </c>
      <c r="L7" s="735">
        <v>5</v>
      </c>
      <c r="M7" s="61"/>
      <c r="N7" s="70"/>
      <c r="O7" s="735"/>
      <c r="P7" s="61"/>
      <c r="Q7" s="70"/>
      <c r="R7" s="349">
        <v>5</v>
      </c>
      <c r="S7" s="932">
        <v>5</v>
      </c>
      <c r="T7" s="735">
        <v>5</v>
      </c>
      <c r="U7" s="61">
        <v>5</v>
      </c>
      <c r="V7" s="70">
        <v>4</v>
      </c>
      <c r="W7" s="70" t="s">
        <v>37</v>
      </c>
      <c r="X7" s="70" t="s">
        <v>46</v>
      </c>
      <c r="Y7" s="70"/>
      <c r="Z7" s="70">
        <v>5</v>
      </c>
      <c r="AA7" s="735">
        <v>5</v>
      </c>
      <c r="AB7" s="61">
        <v>5</v>
      </c>
      <c r="AC7" s="70">
        <v>4</v>
      </c>
      <c r="AD7" s="735">
        <v>4</v>
      </c>
      <c r="AE7" s="74"/>
      <c r="AF7" s="70"/>
      <c r="AG7" s="70"/>
      <c r="AH7" s="70"/>
      <c r="AI7" s="70"/>
      <c r="AJ7" s="70"/>
      <c r="AK7" s="70"/>
      <c r="AL7" s="70"/>
      <c r="AM7" s="70"/>
      <c r="AN7" s="70"/>
      <c r="AO7" s="618"/>
      <c r="AP7" s="76">
        <f t="shared" si="0"/>
        <v>4.7857142857142856</v>
      </c>
      <c r="AQ7" s="77">
        <f t="shared" si="1"/>
        <v>0</v>
      </c>
      <c r="AR7" s="77">
        <f t="shared" si="2"/>
        <v>1</v>
      </c>
    </row>
    <row r="8" spans="1:44" ht="16.5" customHeight="1">
      <c r="A8" s="144" t="s">
        <v>53</v>
      </c>
      <c r="B8" s="137" t="s">
        <v>54</v>
      </c>
      <c r="C8" s="61"/>
      <c r="D8" s="70"/>
      <c r="E8" s="70"/>
      <c r="F8" s="929" t="s">
        <v>46</v>
      </c>
      <c r="G8" s="70"/>
      <c r="H8" s="929" t="s">
        <v>46</v>
      </c>
      <c r="I8" s="938">
        <v>5</v>
      </c>
      <c r="J8" s="938">
        <v>3</v>
      </c>
      <c r="K8" s="929" t="s">
        <v>46</v>
      </c>
      <c r="L8" s="735"/>
      <c r="M8" s="61"/>
      <c r="N8" s="70"/>
      <c r="O8" s="735"/>
      <c r="P8" s="61"/>
      <c r="Q8" s="70"/>
      <c r="R8" s="349">
        <v>4</v>
      </c>
      <c r="S8" s="932">
        <v>5</v>
      </c>
      <c r="T8" s="735">
        <v>3</v>
      </c>
      <c r="U8" s="61">
        <v>3</v>
      </c>
      <c r="V8" s="70">
        <v>5</v>
      </c>
      <c r="W8" s="70" t="s">
        <v>37</v>
      </c>
      <c r="X8" s="70" t="s">
        <v>46</v>
      </c>
      <c r="Y8" s="70"/>
      <c r="Z8" s="70">
        <v>5</v>
      </c>
      <c r="AA8" s="735">
        <v>5</v>
      </c>
      <c r="AB8" s="61">
        <v>5</v>
      </c>
      <c r="AC8" s="70" t="s">
        <v>46</v>
      </c>
      <c r="AD8" s="735">
        <v>4</v>
      </c>
      <c r="AE8" s="74"/>
      <c r="AF8" s="70"/>
      <c r="AG8" s="70"/>
      <c r="AH8" s="70"/>
      <c r="AI8" s="70"/>
      <c r="AJ8" s="70"/>
      <c r="AK8" s="70"/>
      <c r="AL8" s="70"/>
      <c r="AM8" s="70"/>
      <c r="AN8" s="70"/>
      <c r="AO8" s="618"/>
      <c r="AP8" s="76">
        <f t="shared" si="0"/>
        <v>4.2727272727272725</v>
      </c>
      <c r="AQ8" s="77">
        <f t="shared" si="1"/>
        <v>0</v>
      </c>
      <c r="AR8" s="77">
        <f t="shared" si="2"/>
        <v>5</v>
      </c>
    </row>
    <row r="9" spans="1:44" ht="16.5" customHeight="1">
      <c r="A9" s="146" t="s">
        <v>55</v>
      </c>
      <c r="B9" s="147" t="s">
        <v>56</v>
      </c>
      <c r="C9" s="707"/>
      <c r="D9" s="119"/>
      <c r="E9" s="119"/>
      <c r="F9" s="119"/>
      <c r="G9" s="119"/>
      <c r="H9" s="119"/>
      <c r="I9" s="119">
        <v>4</v>
      </c>
      <c r="J9" s="939" t="s">
        <v>46</v>
      </c>
      <c r="K9" s="939" t="s">
        <v>46</v>
      </c>
      <c r="L9" s="940">
        <v>5</v>
      </c>
      <c r="M9" s="707"/>
      <c r="N9" s="119"/>
      <c r="O9" s="940"/>
      <c r="P9" s="707"/>
      <c r="Q9" s="119"/>
      <c r="R9" s="119">
        <v>5</v>
      </c>
      <c r="S9" s="941">
        <v>5</v>
      </c>
      <c r="T9" s="940">
        <v>5</v>
      </c>
      <c r="U9" s="707">
        <v>5</v>
      </c>
      <c r="V9" s="119">
        <v>5</v>
      </c>
      <c r="W9" s="119" t="s">
        <v>37</v>
      </c>
      <c r="X9" s="119" t="s">
        <v>46</v>
      </c>
      <c r="Y9" s="119"/>
      <c r="Z9" s="119">
        <v>5</v>
      </c>
      <c r="AA9" s="940">
        <v>5</v>
      </c>
      <c r="AB9" s="942">
        <v>4</v>
      </c>
      <c r="AC9" s="119" t="s">
        <v>351</v>
      </c>
      <c r="AD9" s="940">
        <v>3</v>
      </c>
      <c r="AE9" s="105"/>
      <c r="AF9" s="119"/>
      <c r="AG9" s="119"/>
      <c r="AH9" s="119"/>
      <c r="AI9" s="119"/>
      <c r="AJ9" s="119"/>
      <c r="AK9" s="119"/>
      <c r="AL9" s="119"/>
      <c r="AM9" s="119"/>
      <c r="AN9" s="119"/>
      <c r="AO9" s="642"/>
      <c r="AP9" s="76">
        <f t="shared" si="0"/>
        <v>4.6363636363636367</v>
      </c>
      <c r="AQ9" s="77">
        <f t="shared" si="1"/>
        <v>0</v>
      </c>
      <c r="AR9" s="77">
        <f t="shared" si="2"/>
        <v>3</v>
      </c>
    </row>
    <row r="10" spans="1:44" ht="16.5" customHeight="1">
      <c r="A10" s="149" t="s">
        <v>57</v>
      </c>
      <c r="B10" s="150" t="s">
        <v>58</v>
      </c>
      <c r="C10" s="532"/>
      <c r="D10" s="96"/>
      <c r="E10" s="96"/>
      <c r="F10" s="96"/>
      <c r="G10" s="937"/>
      <c r="H10" s="96"/>
      <c r="I10" s="96">
        <v>5</v>
      </c>
      <c r="J10" s="96">
        <v>5</v>
      </c>
      <c r="K10" s="96">
        <v>5</v>
      </c>
      <c r="L10" s="734">
        <v>5</v>
      </c>
      <c r="M10" s="532"/>
      <c r="N10" s="96"/>
      <c r="O10" s="734"/>
      <c r="P10" s="532"/>
      <c r="Q10" s="96"/>
      <c r="R10" s="96">
        <v>5</v>
      </c>
      <c r="S10" s="935">
        <v>5</v>
      </c>
      <c r="T10" s="734">
        <v>5</v>
      </c>
      <c r="U10" s="532">
        <v>5</v>
      </c>
      <c r="V10" s="96">
        <v>5</v>
      </c>
      <c r="W10" s="96" t="s">
        <v>37</v>
      </c>
      <c r="X10" s="96" t="s">
        <v>37</v>
      </c>
      <c r="Y10" s="96"/>
      <c r="Z10" s="96">
        <v>5</v>
      </c>
      <c r="AA10" s="734">
        <v>5</v>
      </c>
      <c r="AB10" s="532">
        <v>5</v>
      </c>
      <c r="AC10" s="96">
        <v>5</v>
      </c>
      <c r="AD10" s="734">
        <v>4</v>
      </c>
      <c r="AE10" s="108"/>
      <c r="AF10" s="96"/>
      <c r="AG10" s="96"/>
      <c r="AH10" s="96"/>
      <c r="AI10" s="96"/>
      <c r="AJ10" s="96"/>
      <c r="AK10" s="96"/>
      <c r="AL10" s="96"/>
      <c r="AM10" s="96"/>
      <c r="AN10" s="96"/>
      <c r="AO10" s="643"/>
      <c r="AP10" s="76">
        <f t="shared" ref="AP10:AP28" si="3">IFERROR(AVERAGE(C10:AO10),"Нет оценок")</f>
        <v>4.9285714285714288</v>
      </c>
      <c r="AQ10" s="77">
        <f t="shared" ref="AQ10:AQ28" si="4">COUNTIF(C10:AO10,"н/у")</f>
        <v>0</v>
      </c>
      <c r="AR10" s="77">
        <f t="shared" ref="AR10:AR28" si="5">COUNTIF(C10:AO10,"н")</f>
        <v>0</v>
      </c>
    </row>
    <row r="11" spans="1:44" ht="16.5" customHeight="1">
      <c r="A11" s="144" t="s">
        <v>59</v>
      </c>
      <c r="B11" s="137" t="s">
        <v>60</v>
      </c>
      <c r="C11" s="61"/>
      <c r="D11" s="70"/>
      <c r="E11" s="70"/>
      <c r="F11" s="70"/>
      <c r="G11" s="929" t="s">
        <v>46</v>
      </c>
      <c r="H11" s="70"/>
      <c r="I11" s="70">
        <v>4</v>
      </c>
      <c r="J11" s="70">
        <v>4</v>
      </c>
      <c r="K11" s="943">
        <v>2</v>
      </c>
      <c r="L11" s="944" t="s">
        <v>48</v>
      </c>
      <c r="M11" s="61"/>
      <c r="N11" s="70"/>
      <c r="O11" s="735"/>
      <c r="P11" s="61"/>
      <c r="Q11" s="70"/>
      <c r="R11" s="931">
        <v>4</v>
      </c>
      <c r="S11" s="932">
        <v>5</v>
      </c>
      <c r="T11" s="735" t="s">
        <v>46</v>
      </c>
      <c r="U11" s="61">
        <v>5</v>
      </c>
      <c r="V11" s="70">
        <v>5</v>
      </c>
      <c r="W11" s="70" t="s">
        <v>46</v>
      </c>
      <c r="X11" s="70">
        <v>2</v>
      </c>
      <c r="Y11" s="70"/>
      <c r="Z11" s="70">
        <v>5</v>
      </c>
      <c r="AA11" s="735" t="s">
        <v>351</v>
      </c>
      <c r="AB11" s="61"/>
      <c r="AC11" s="70" t="s">
        <v>351</v>
      </c>
      <c r="AD11" s="735">
        <v>4</v>
      </c>
      <c r="AE11" s="74"/>
      <c r="AF11" s="70"/>
      <c r="AG11" s="70"/>
      <c r="AH11" s="70"/>
      <c r="AI11" s="70"/>
      <c r="AJ11" s="70"/>
      <c r="AK11" s="70"/>
      <c r="AL11" s="70"/>
      <c r="AM11" s="70"/>
      <c r="AN11" s="70"/>
      <c r="AO11" s="645"/>
      <c r="AP11" s="76">
        <f t="shared" si="3"/>
        <v>4</v>
      </c>
      <c r="AQ11" s="77">
        <f t="shared" si="4"/>
        <v>1</v>
      </c>
      <c r="AR11" s="77">
        <f t="shared" si="5"/>
        <v>3</v>
      </c>
    </row>
    <row r="12" spans="1:44" ht="16.5" customHeight="1">
      <c r="A12" s="144" t="s">
        <v>61</v>
      </c>
      <c r="B12" s="137" t="s">
        <v>62</v>
      </c>
      <c r="C12" s="61"/>
      <c r="D12" s="929" t="s">
        <v>46</v>
      </c>
      <c r="E12" s="70"/>
      <c r="F12" s="929" t="s">
        <v>46</v>
      </c>
      <c r="G12" s="929" t="s">
        <v>46</v>
      </c>
      <c r="H12" s="929" t="s">
        <v>46</v>
      </c>
      <c r="I12" s="938">
        <v>3</v>
      </c>
      <c r="J12" s="929" t="s">
        <v>46</v>
      </c>
      <c r="K12" s="929" t="s">
        <v>46</v>
      </c>
      <c r="L12" s="945"/>
      <c r="M12" s="61"/>
      <c r="N12" s="70"/>
      <c r="O12" s="735"/>
      <c r="P12" s="946" t="s">
        <v>46</v>
      </c>
      <c r="Q12" s="70"/>
      <c r="R12" s="70">
        <v>5</v>
      </c>
      <c r="S12" s="932">
        <v>5</v>
      </c>
      <c r="T12" s="735">
        <v>4</v>
      </c>
      <c r="U12" s="61">
        <v>5</v>
      </c>
      <c r="V12" s="70">
        <v>5</v>
      </c>
      <c r="W12" s="70" t="s">
        <v>37</v>
      </c>
      <c r="X12" s="70" t="s">
        <v>37</v>
      </c>
      <c r="Y12" s="70"/>
      <c r="Z12" s="70" t="s">
        <v>351</v>
      </c>
      <c r="AA12" s="735" t="s">
        <v>351</v>
      </c>
      <c r="AB12" s="61"/>
      <c r="AC12" s="70" t="s">
        <v>351</v>
      </c>
      <c r="AD12" s="735">
        <v>5</v>
      </c>
      <c r="AE12" s="74"/>
      <c r="AF12" s="70"/>
      <c r="AG12" s="70"/>
      <c r="AH12" s="70"/>
      <c r="AI12" s="70"/>
      <c r="AJ12" s="70"/>
      <c r="AK12" s="70"/>
      <c r="AL12" s="70"/>
      <c r="AM12" s="70"/>
      <c r="AN12" s="70"/>
      <c r="AO12" s="645"/>
      <c r="AP12" s="76">
        <f t="shared" si="3"/>
        <v>4.5714285714285712</v>
      </c>
      <c r="AQ12" s="77">
        <f t="shared" si="4"/>
        <v>0</v>
      </c>
      <c r="AR12" s="77">
        <f t="shared" si="5"/>
        <v>7</v>
      </c>
    </row>
    <row r="13" spans="1:44" ht="16.5" customHeight="1">
      <c r="A13" s="144" t="s">
        <v>63</v>
      </c>
      <c r="B13" s="150" t="s">
        <v>64</v>
      </c>
      <c r="C13" s="532"/>
      <c r="D13" s="96"/>
      <c r="E13" s="947" t="s">
        <v>46</v>
      </c>
      <c r="F13" s="96"/>
      <c r="G13" s="96"/>
      <c r="H13" s="96"/>
      <c r="I13" s="96">
        <v>2</v>
      </c>
      <c r="J13" s="96">
        <v>2</v>
      </c>
      <c r="K13" s="96">
        <v>2</v>
      </c>
      <c r="L13" s="948" t="s">
        <v>46</v>
      </c>
      <c r="M13" s="532"/>
      <c r="N13" s="96"/>
      <c r="O13" s="734"/>
      <c r="P13" s="532"/>
      <c r="Q13" s="96"/>
      <c r="R13" s="96">
        <v>3</v>
      </c>
      <c r="S13" s="935" t="s">
        <v>46</v>
      </c>
      <c r="T13" s="734">
        <v>3</v>
      </c>
      <c r="U13" s="714">
        <v>2</v>
      </c>
      <c r="V13" s="96">
        <v>3</v>
      </c>
      <c r="W13" s="96" t="s">
        <v>46</v>
      </c>
      <c r="X13" s="96">
        <v>2</v>
      </c>
      <c r="Y13" s="96" t="s">
        <v>46</v>
      </c>
      <c r="Z13" s="96" t="s">
        <v>351</v>
      </c>
      <c r="AA13" s="734" t="s">
        <v>351</v>
      </c>
      <c r="AB13" s="532" t="s">
        <v>46</v>
      </c>
      <c r="AC13" s="96" t="s">
        <v>46</v>
      </c>
      <c r="AD13" s="734" t="s">
        <v>46</v>
      </c>
      <c r="AE13" s="108" t="s">
        <v>46</v>
      </c>
      <c r="AF13" s="96"/>
      <c r="AG13" s="96"/>
      <c r="AH13" s="96"/>
      <c r="AI13" s="96"/>
      <c r="AJ13" s="96"/>
      <c r="AK13" s="96"/>
      <c r="AL13" s="96"/>
      <c r="AM13" s="96"/>
      <c r="AN13" s="96"/>
      <c r="AO13" s="643"/>
      <c r="AP13" s="76">
        <f t="shared" si="3"/>
        <v>2.375</v>
      </c>
      <c r="AQ13" s="77">
        <f t="shared" si="4"/>
        <v>0</v>
      </c>
      <c r="AR13" s="77">
        <f t="shared" si="5"/>
        <v>9</v>
      </c>
    </row>
    <row r="14" spans="1:44" ht="16.5" customHeight="1">
      <c r="A14" s="146" t="s">
        <v>65</v>
      </c>
      <c r="B14" s="151" t="s">
        <v>66</v>
      </c>
      <c r="C14" s="716"/>
      <c r="D14" s="103"/>
      <c r="E14" s="103"/>
      <c r="F14" s="103"/>
      <c r="G14" s="103"/>
      <c r="H14" s="103"/>
      <c r="I14" s="103">
        <v>5</v>
      </c>
      <c r="J14" s="103">
        <v>3</v>
      </c>
      <c r="K14" s="103">
        <v>2</v>
      </c>
      <c r="L14" s="726">
        <v>4</v>
      </c>
      <c r="M14" s="949" t="s">
        <v>46</v>
      </c>
      <c r="N14" s="950" t="s">
        <v>46</v>
      </c>
      <c r="O14" s="726"/>
      <c r="P14" s="716"/>
      <c r="Q14" s="103"/>
      <c r="R14" s="103">
        <v>4</v>
      </c>
      <c r="S14" s="951">
        <v>5</v>
      </c>
      <c r="T14" s="726">
        <v>3</v>
      </c>
      <c r="U14" s="716">
        <v>2</v>
      </c>
      <c r="V14" s="103">
        <v>5</v>
      </c>
      <c r="W14" s="103" t="s">
        <v>37</v>
      </c>
      <c r="X14" s="103" t="s">
        <v>37</v>
      </c>
      <c r="Y14" s="103"/>
      <c r="Z14" s="103">
        <v>5</v>
      </c>
      <c r="AA14" s="726">
        <v>5</v>
      </c>
      <c r="AB14" s="716"/>
      <c r="AC14" s="103" t="s">
        <v>351</v>
      </c>
      <c r="AD14" s="952" t="s">
        <v>48</v>
      </c>
      <c r="AE14" s="101"/>
      <c r="AF14" s="103"/>
      <c r="AG14" s="103"/>
      <c r="AH14" s="103"/>
      <c r="AI14" s="103"/>
      <c r="AJ14" s="103"/>
      <c r="AK14" s="103"/>
      <c r="AL14" s="103"/>
      <c r="AM14" s="103"/>
      <c r="AN14" s="103"/>
      <c r="AO14" s="654"/>
      <c r="AP14" s="76">
        <f t="shared" si="3"/>
        <v>3.9090909090909092</v>
      </c>
      <c r="AQ14" s="77">
        <f t="shared" si="4"/>
        <v>1</v>
      </c>
      <c r="AR14" s="77">
        <f t="shared" si="5"/>
        <v>2</v>
      </c>
    </row>
    <row r="15" spans="1:44" ht="16.5" customHeight="1">
      <c r="A15" s="149" t="s">
        <v>67</v>
      </c>
      <c r="B15" s="150" t="s">
        <v>68</v>
      </c>
      <c r="C15" s="532"/>
      <c r="D15" s="96"/>
      <c r="E15" s="96"/>
      <c r="F15" s="96"/>
      <c r="G15" s="96"/>
      <c r="H15" s="96"/>
      <c r="I15" s="96">
        <v>5</v>
      </c>
      <c r="J15" s="953" t="s">
        <v>48</v>
      </c>
      <c r="K15" s="954" t="s">
        <v>48</v>
      </c>
      <c r="L15" s="734">
        <v>5</v>
      </c>
      <c r="M15" s="532"/>
      <c r="N15" s="96"/>
      <c r="O15" s="734"/>
      <c r="P15" s="532"/>
      <c r="Q15" s="96"/>
      <c r="R15" s="96">
        <v>4</v>
      </c>
      <c r="S15" s="935">
        <v>4</v>
      </c>
      <c r="T15" s="734">
        <v>5</v>
      </c>
      <c r="U15" s="532">
        <v>5</v>
      </c>
      <c r="V15" s="96">
        <v>5</v>
      </c>
      <c r="W15" s="96" t="s">
        <v>37</v>
      </c>
      <c r="X15" s="96" t="s">
        <v>37</v>
      </c>
      <c r="Y15" s="96"/>
      <c r="Z15" s="96">
        <v>3</v>
      </c>
      <c r="AA15" s="734">
        <v>5</v>
      </c>
      <c r="AB15" s="532" t="s">
        <v>46</v>
      </c>
      <c r="AC15" s="96" t="s">
        <v>351</v>
      </c>
      <c r="AD15" s="734">
        <v>4</v>
      </c>
      <c r="AE15" s="108"/>
      <c r="AF15" s="96"/>
      <c r="AG15" s="96"/>
      <c r="AH15" s="96"/>
      <c r="AI15" s="96"/>
      <c r="AJ15" s="96"/>
      <c r="AK15" s="96"/>
      <c r="AL15" s="96"/>
      <c r="AM15" s="96"/>
      <c r="AN15" s="96"/>
      <c r="AO15" s="643"/>
      <c r="AP15" s="76">
        <f t="shared" si="3"/>
        <v>4.5</v>
      </c>
      <c r="AQ15" s="77">
        <f t="shared" si="4"/>
        <v>2</v>
      </c>
      <c r="AR15" s="77">
        <f t="shared" si="5"/>
        <v>1</v>
      </c>
    </row>
    <row r="16" spans="1:44" ht="16.5" customHeight="1">
      <c r="A16" s="144" t="s">
        <v>69</v>
      </c>
      <c r="B16" s="137" t="s">
        <v>70</v>
      </c>
      <c r="C16" s="61"/>
      <c r="D16" s="70"/>
      <c r="E16" s="70"/>
      <c r="F16" s="70"/>
      <c r="G16" s="70"/>
      <c r="H16" s="931"/>
      <c r="I16" s="70">
        <v>2</v>
      </c>
      <c r="J16" s="70">
        <v>5</v>
      </c>
      <c r="K16" s="70">
        <v>5</v>
      </c>
      <c r="L16" s="735">
        <v>5</v>
      </c>
      <c r="M16" s="61"/>
      <c r="N16" s="70"/>
      <c r="O16" s="735"/>
      <c r="P16" s="61"/>
      <c r="Q16" s="70"/>
      <c r="R16" s="70">
        <v>5</v>
      </c>
      <c r="S16" s="932">
        <v>5</v>
      </c>
      <c r="T16" s="735">
        <v>5</v>
      </c>
      <c r="U16" s="955">
        <v>3</v>
      </c>
      <c r="V16" s="70">
        <v>2</v>
      </c>
      <c r="W16" s="70" t="s">
        <v>37</v>
      </c>
      <c r="X16" s="70" t="s">
        <v>37</v>
      </c>
      <c r="Y16" s="70" t="s">
        <v>46</v>
      </c>
      <c r="Z16" s="70">
        <v>4</v>
      </c>
      <c r="AA16" s="735">
        <v>4</v>
      </c>
      <c r="AB16" s="61" t="s">
        <v>46</v>
      </c>
      <c r="AC16" s="70" t="s">
        <v>351</v>
      </c>
      <c r="AD16" s="735">
        <v>5</v>
      </c>
      <c r="AE16" s="74"/>
      <c r="AF16" s="70"/>
      <c r="AG16" s="70"/>
      <c r="AH16" s="70"/>
      <c r="AI16" s="70"/>
      <c r="AJ16" s="70"/>
      <c r="AK16" s="70"/>
      <c r="AL16" s="70"/>
      <c r="AM16" s="70"/>
      <c r="AN16" s="70"/>
      <c r="AO16" s="645"/>
      <c r="AP16" s="76">
        <f t="shared" si="3"/>
        <v>4.166666666666667</v>
      </c>
      <c r="AQ16" s="77">
        <f t="shared" si="4"/>
        <v>0</v>
      </c>
      <c r="AR16" s="77">
        <f t="shared" si="5"/>
        <v>2</v>
      </c>
    </row>
    <row r="17" spans="1:44" ht="16.5" customHeight="1">
      <c r="A17" s="144" t="s">
        <v>71</v>
      </c>
      <c r="B17" s="137" t="s">
        <v>72</v>
      </c>
      <c r="C17" s="61"/>
      <c r="D17" s="70"/>
      <c r="E17" s="929" t="s">
        <v>46</v>
      </c>
      <c r="F17" s="929" t="s">
        <v>46</v>
      </c>
      <c r="G17" s="929" t="s">
        <v>46</v>
      </c>
      <c r="H17" s="70"/>
      <c r="I17" s="931">
        <v>5</v>
      </c>
      <c r="J17" s="70">
        <v>4</v>
      </c>
      <c r="K17" s="70">
        <v>2</v>
      </c>
      <c r="L17" s="930" t="s">
        <v>46</v>
      </c>
      <c r="M17" s="61"/>
      <c r="N17" s="70"/>
      <c r="O17" s="930" t="s">
        <v>46</v>
      </c>
      <c r="P17" s="61"/>
      <c r="Q17" s="929" t="s">
        <v>46</v>
      </c>
      <c r="R17" s="349">
        <v>4</v>
      </c>
      <c r="S17" s="932">
        <v>4</v>
      </c>
      <c r="T17" s="735" t="s">
        <v>46</v>
      </c>
      <c r="U17" s="61">
        <v>5</v>
      </c>
      <c r="V17" s="70">
        <v>4</v>
      </c>
      <c r="W17" s="70" t="s">
        <v>37</v>
      </c>
      <c r="X17" s="70" t="s">
        <v>37</v>
      </c>
      <c r="Y17" s="70"/>
      <c r="Z17" s="70" t="s">
        <v>46</v>
      </c>
      <c r="AA17" s="735" t="s">
        <v>46</v>
      </c>
      <c r="AB17" s="61" t="s">
        <v>46</v>
      </c>
      <c r="AC17" s="70" t="s">
        <v>46</v>
      </c>
      <c r="AD17" s="735" t="s">
        <v>46</v>
      </c>
      <c r="AE17" s="74"/>
      <c r="AF17" s="70"/>
      <c r="AG17" s="70"/>
      <c r="AH17" s="70"/>
      <c r="AI17" s="70"/>
      <c r="AJ17" s="70"/>
      <c r="AK17" s="70"/>
      <c r="AL17" s="70"/>
      <c r="AM17" s="70"/>
      <c r="AN17" s="70"/>
      <c r="AO17" s="645"/>
      <c r="AP17" s="76">
        <f t="shared" si="3"/>
        <v>4</v>
      </c>
      <c r="AQ17" s="77">
        <f t="shared" si="4"/>
        <v>0</v>
      </c>
      <c r="AR17" s="77">
        <f t="shared" si="5"/>
        <v>12</v>
      </c>
    </row>
    <row r="18" spans="1:44" ht="16.5" customHeight="1">
      <c r="A18" s="144" t="s">
        <v>73</v>
      </c>
      <c r="B18" s="150" t="s">
        <v>74</v>
      </c>
      <c r="C18" s="532"/>
      <c r="D18" s="96"/>
      <c r="E18" s="96"/>
      <c r="F18" s="96"/>
      <c r="G18" s="937"/>
      <c r="H18" s="96"/>
      <c r="I18" s="96">
        <v>5</v>
      </c>
      <c r="J18" s="96">
        <v>5</v>
      </c>
      <c r="K18" s="96">
        <v>5</v>
      </c>
      <c r="L18" s="734">
        <v>5</v>
      </c>
      <c r="M18" s="532"/>
      <c r="N18" s="96"/>
      <c r="O18" s="734"/>
      <c r="P18" s="532"/>
      <c r="Q18" s="96"/>
      <c r="R18" s="96">
        <v>5</v>
      </c>
      <c r="S18" s="935">
        <v>5</v>
      </c>
      <c r="T18" s="734">
        <v>4</v>
      </c>
      <c r="U18" s="714">
        <v>5</v>
      </c>
      <c r="V18" s="96">
        <v>0</v>
      </c>
      <c r="W18" s="96" t="s">
        <v>37</v>
      </c>
      <c r="X18" s="96" t="s">
        <v>37</v>
      </c>
      <c r="Y18" s="96"/>
      <c r="Z18" s="96">
        <v>2</v>
      </c>
      <c r="AA18" s="734">
        <v>5</v>
      </c>
      <c r="AB18" s="956">
        <v>4</v>
      </c>
      <c r="AC18" s="96" t="s">
        <v>351</v>
      </c>
      <c r="AD18" s="734">
        <v>4</v>
      </c>
      <c r="AE18" s="108"/>
      <c r="AF18" s="96"/>
      <c r="AG18" s="96"/>
      <c r="AH18" s="96"/>
      <c r="AI18" s="96"/>
      <c r="AJ18" s="96"/>
      <c r="AK18" s="96"/>
      <c r="AL18" s="96"/>
      <c r="AM18" s="96"/>
      <c r="AN18" s="96"/>
      <c r="AO18" s="643"/>
      <c r="AP18" s="76">
        <f t="shared" si="3"/>
        <v>4.1538461538461542</v>
      </c>
      <c r="AQ18" s="77">
        <f t="shared" si="4"/>
        <v>0</v>
      </c>
      <c r="AR18" s="77">
        <f t="shared" si="5"/>
        <v>0</v>
      </c>
    </row>
    <row r="19" spans="1:44" ht="16.5" customHeight="1">
      <c r="A19" s="146" t="s">
        <v>75</v>
      </c>
      <c r="B19" s="151" t="s">
        <v>76</v>
      </c>
      <c r="C19" s="716"/>
      <c r="D19" s="103"/>
      <c r="E19" s="957"/>
      <c r="F19" s="103"/>
      <c r="G19" s="103"/>
      <c r="H19" s="103"/>
      <c r="I19" s="103">
        <v>5</v>
      </c>
      <c r="J19" s="103">
        <v>5</v>
      </c>
      <c r="K19" s="103">
        <v>4</v>
      </c>
      <c r="L19" s="958">
        <v>5</v>
      </c>
      <c r="M19" s="716"/>
      <c r="N19" s="103"/>
      <c r="O19" s="726"/>
      <c r="P19" s="716"/>
      <c r="Q19" s="103"/>
      <c r="R19" s="103">
        <v>4</v>
      </c>
      <c r="S19" s="951">
        <v>5</v>
      </c>
      <c r="T19" s="726">
        <v>4</v>
      </c>
      <c r="U19" s="716">
        <v>4</v>
      </c>
      <c r="V19" s="103">
        <v>5</v>
      </c>
      <c r="W19" s="957"/>
      <c r="X19" s="103" t="s">
        <v>37</v>
      </c>
      <c r="Y19" s="103"/>
      <c r="Z19" s="103">
        <v>4</v>
      </c>
      <c r="AA19" s="959">
        <v>4</v>
      </c>
      <c r="AB19" s="716">
        <v>5</v>
      </c>
      <c r="AC19" s="103">
        <v>5</v>
      </c>
      <c r="AD19" s="726">
        <v>4</v>
      </c>
      <c r="AE19" s="101"/>
      <c r="AF19" s="103"/>
      <c r="AG19" s="103"/>
      <c r="AH19" s="103"/>
      <c r="AI19" s="103"/>
      <c r="AJ19" s="103"/>
      <c r="AK19" s="103"/>
      <c r="AL19" s="103"/>
      <c r="AM19" s="103"/>
      <c r="AN19" s="103"/>
      <c r="AO19" s="654"/>
      <c r="AP19" s="76">
        <f t="shared" si="3"/>
        <v>4.5</v>
      </c>
      <c r="AQ19" s="77">
        <f t="shared" si="4"/>
        <v>0</v>
      </c>
      <c r="AR19" s="77">
        <f t="shared" si="5"/>
        <v>0</v>
      </c>
    </row>
    <row r="20" spans="1:44" ht="16.5" customHeight="1">
      <c r="A20" s="149" t="s">
        <v>77</v>
      </c>
      <c r="B20" s="150" t="s">
        <v>78</v>
      </c>
      <c r="C20" s="532"/>
      <c r="D20" s="96"/>
      <c r="E20" s="96"/>
      <c r="F20" s="96"/>
      <c r="G20" s="937" t="s">
        <v>37</v>
      </c>
      <c r="H20" s="96"/>
      <c r="I20" s="96">
        <v>5</v>
      </c>
      <c r="J20" s="96">
        <v>5</v>
      </c>
      <c r="K20" s="96">
        <v>4</v>
      </c>
      <c r="L20" s="734">
        <v>5</v>
      </c>
      <c r="M20" s="532"/>
      <c r="N20" s="96"/>
      <c r="O20" s="734"/>
      <c r="P20" s="936" t="s">
        <v>37</v>
      </c>
      <c r="Q20" s="96"/>
      <c r="R20" s="96">
        <v>4</v>
      </c>
      <c r="S20" s="935">
        <v>5</v>
      </c>
      <c r="T20" s="734">
        <v>4</v>
      </c>
      <c r="U20" s="532">
        <v>4</v>
      </c>
      <c r="V20" s="937">
        <v>4</v>
      </c>
      <c r="W20" s="96" t="s">
        <v>37</v>
      </c>
      <c r="X20" s="96" t="s">
        <v>37</v>
      </c>
      <c r="Y20" s="96"/>
      <c r="Z20" s="96">
        <v>5</v>
      </c>
      <c r="AA20" s="734">
        <v>5</v>
      </c>
      <c r="AB20" s="532">
        <v>5</v>
      </c>
      <c r="AC20" s="96" t="s">
        <v>46</v>
      </c>
      <c r="AD20" s="734">
        <v>5</v>
      </c>
      <c r="AE20" s="108"/>
      <c r="AF20" s="96"/>
      <c r="AG20" s="96"/>
      <c r="AH20" s="96"/>
      <c r="AI20" s="96"/>
      <c r="AJ20" s="96"/>
      <c r="AK20" s="96"/>
      <c r="AL20" s="96"/>
      <c r="AM20" s="96"/>
      <c r="AN20" s="96"/>
      <c r="AO20" s="643"/>
      <c r="AP20" s="76">
        <f t="shared" si="3"/>
        <v>4.615384615384615</v>
      </c>
      <c r="AQ20" s="77">
        <f t="shared" si="4"/>
        <v>0</v>
      </c>
      <c r="AR20" s="77">
        <f t="shared" si="5"/>
        <v>1</v>
      </c>
    </row>
    <row r="21" spans="1:44" ht="16.5" customHeight="1">
      <c r="A21" s="144" t="s">
        <v>79</v>
      </c>
      <c r="B21" s="137" t="s">
        <v>80</v>
      </c>
      <c r="C21" s="946" t="s">
        <v>46</v>
      </c>
      <c r="D21" s="929" t="s">
        <v>46</v>
      </c>
      <c r="E21" s="929" t="s">
        <v>46</v>
      </c>
      <c r="F21" s="70"/>
      <c r="G21" s="70"/>
      <c r="H21" s="70"/>
      <c r="I21" s="70">
        <v>2</v>
      </c>
      <c r="J21" s="70">
        <v>5</v>
      </c>
      <c r="K21" s="70">
        <v>3</v>
      </c>
      <c r="L21" s="735">
        <v>5</v>
      </c>
      <c r="M21" s="61"/>
      <c r="N21" s="70"/>
      <c r="O21" s="735"/>
      <c r="P21" s="61"/>
      <c r="Q21" s="929" t="s">
        <v>46</v>
      </c>
      <c r="R21" s="70">
        <v>3</v>
      </c>
      <c r="S21" s="932">
        <v>5</v>
      </c>
      <c r="T21" s="735">
        <v>4</v>
      </c>
      <c r="U21" s="61">
        <v>4</v>
      </c>
      <c r="V21" s="70">
        <v>4</v>
      </c>
      <c r="W21" s="70">
        <v>2</v>
      </c>
      <c r="X21" s="70">
        <v>2</v>
      </c>
      <c r="Y21" s="70" t="s">
        <v>46</v>
      </c>
      <c r="Z21" s="70">
        <v>4</v>
      </c>
      <c r="AA21" s="960">
        <v>4</v>
      </c>
      <c r="AB21" s="61"/>
      <c r="AC21" s="70" t="s">
        <v>351</v>
      </c>
      <c r="AD21" s="735">
        <v>4</v>
      </c>
      <c r="AE21" s="74"/>
      <c r="AF21" s="70"/>
      <c r="AG21" s="70"/>
      <c r="AH21" s="70"/>
      <c r="AI21" s="70"/>
      <c r="AJ21" s="70"/>
      <c r="AK21" s="70"/>
      <c r="AL21" s="70"/>
      <c r="AM21" s="70"/>
      <c r="AN21" s="70"/>
      <c r="AO21" s="645"/>
      <c r="AP21" s="76">
        <f t="shared" si="3"/>
        <v>3.6428571428571428</v>
      </c>
      <c r="AQ21" s="77">
        <f t="shared" si="4"/>
        <v>0</v>
      </c>
      <c r="AR21" s="77">
        <f t="shared" si="5"/>
        <v>5</v>
      </c>
    </row>
    <row r="22" spans="1:44" ht="16.5" customHeight="1">
      <c r="A22" s="144" t="s">
        <v>81</v>
      </c>
      <c r="B22" s="137" t="s">
        <v>82</v>
      </c>
      <c r="C22" s="946" t="s">
        <v>46</v>
      </c>
      <c r="D22" s="929" t="s">
        <v>46</v>
      </c>
      <c r="E22" s="70"/>
      <c r="F22" s="70"/>
      <c r="G22" s="70"/>
      <c r="H22" s="70"/>
      <c r="I22" s="70">
        <v>5</v>
      </c>
      <c r="J22" s="929" t="s">
        <v>46</v>
      </c>
      <c r="K22" s="929" t="s">
        <v>46</v>
      </c>
      <c r="L22" s="735">
        <v>5</v>
      </c>
      <c r="M22" s="946" t="s">
        <v>46</v>
      </c>
      <c r="N22" s="929" t="s">
        <v>46</v>
      </c>
      <c r="O22" s="930" t="s">
        <v>46</v>
      </c>
      <c r="P22" s="61"/>
      <c r="Q22" s="70">
        <v>5</v>
      </c>
      <c r="R22" s="70">
        <v>5</v>
      </c>
      <c r="S22" s="932">
        <v>5</v>
      </c>
      <c r="T22" s="735">
        <v>5</v>
      </c>
      <c r="U22" s="712">
        <v>5</v>
      </c>
      <c r="V22" s="70">
        <v>5</v>
      </c>
      <c r="W22" s="70" t="s">
        <v>46</v>
      </c>
      <c r="X22" s="70" t="s">
        <v>46</v>
      </c>
      <c r="Y22" s="70"/>
      <c r="Z22" s="70">
        <v>5</v>
      </c>
      <c r="AA22" s="735">
        <v>5</v>
      </c>
      <c r="AB22" s="61">
        <v>5</v>
      </c>
      <c r="AC22" s="70" t="s">
        <v>46</v>
      </c>
      <c r="AD22" s="961" t="s">
        <v>48</v>
      </c>
      <c r="AE22" s="961" t="s">
        <v>48</v>
      </c>
      <c r="AF22" s="70"/>
      <c r="AG22" s="70"/>
      <c r="AH22" s="70"/>
      <c r="AI22" s="70"/>
      <c r="AJ22" s="70"/>
      <c r="AK22" s="70"/>
      <c r="AL22" s="70"/>
      <c r="AM22" s="70"/>
      <c r="AN22" s="70"/>
      <c r="AO22" s="645"/>
      <c r="AP22" s="76">
        <f t="shared" si="3"/>
        <v>5</v>
      </c>
      <c r="AQ22" s="77">
        <f t="shared" si="4"/>
        <v>2</v>
      </c>
      <c r="AR22" s="77">
        <f t="shared" si="5"/>
        <v>10</v>
      </c>
    </row>
    <row r="23" spans="1:44" ht="16.5" customHeight="1">
      <c r="A23" s="144" t="s">
        <v>83</v>
      </c>
      <c r="B23" s="150" t="s">
        <v>84</v>
      </c>
      <c r="C23" s="532"/>
      <c r="D23" s="96"/>
      <c r="E23" s="96"/>
      <c r="F23" s="96"/>
      <c r="G23" s="96"/>
      <c r="H23" s="947" t="s">
        <v>46</v>
      </c>
      <c r="I23" s="96">
        <v>5</v>
      </c>
      <c r="J23" s="962">
        <v>3</v>
      </c>
      <c r="K23" s="963" t="s">
        <v>48</v>
      </c>
      <c r="L23" s="964" t="s">
        <v>48</v>
      </c>
      <c r="M23" s="532"/>
      <c r="N23" s="96"/>
      <c r="O23" s="948" t="s">
        <v>46</v>
      </c>
      <c r="P23" s="532"/>
      <c r="Q23" s="947" t="s">
        <v>46</v>
      </c>
      <c r="R23" s="96">
        <v>4</v>
      </c>
      <c r="S23" s="937">
        <v>5</v>
      </c>
      <c r="T23" s="734">
        <v>4</v>
      </c>
      <c r="U23" s="936">
        <v>5</v>
      </c>
      <c r="V23" s="96">
        <v>4</v>
      </c>
      <c r="W23" s="96" t="s">
        <v>37</v>
      </c>
      <c r="X23" s="96" t="s">
        <v>37</v>
      </c>
      <c r="Y23" s="96"/>
      <c r="Z23" s="96">
        <v>5</v>
      </c>
      <c r="AA23" s="965">
        <v>5</v>
      </c>
      <c r="AB23" s="532" t="s">
        <v>46</v>
      </c>
      <c r="AC23" s="96" t="s">
        <v>46</v>
      </c>
      <c r="AD23" s="734" t="s">
        <v>46</v>
      </c>
      <c r="AE23" s="108"/>
      <c r="AF23" s="96"/>
      <c r="AG23" s="96"/>
      <c r="AH23" s="96"/>
      <c r="AI23" s="96"/>
      <c r="AJ23" s="96"/>
      <c r="AK23" s="96"/>
      <c r="AL23" s="96"/>
      <c r="AM23" s="96"/>
      <c r="AN23" s="96"/>
      <c r="AO23" s="643"/>
      <c r="AP23" s="76">
        <f t="shared" si="3"/>
        <v>4.4444444444444446</v>
      </c>
      <c r="AQ23" s="77">
        <f t="shared" si="4"/>
        <v>2</v>
      </c>
      <c r="AR23" s="77">
        <f t="shared" si="5"/>
        <v>6</v>
      </c>
    </row>
    <row r="24" spans="1:44" ht="16.5" customHeight="1">
      <c r="A24" s="966" t="s">
        <v>27</v>
      </c>
      <c r="B24" s="151" t="s">
        <v>85</v>
      </c>
      <c r="C24" s="729"/>
      <c r="D24" s="73"/>
      <c r="E24" s="73"/>
      <c r="F24" s="73"/>
      <c r="G24" s="73"/>
      <c r="H24" s="73"/>
      <c r="I24" s="73">
        <v>5</v>
      </c>
      <c r="J24" s="73">
        <v>5</v>
      </c>
      <c r="K24" s="73">
        <v>5</v>
      </c>
      <c r="L24" s="967">
        <v>5</v>
      </c>
      <c r="M24" s="729"/>
      <c r="N24" s="73"/>
      <c r="O24" s="967"/>
      <c r="P24" s="729"/>
      <c r="Q24" s="73"/>
      <c r="R24" s="73">
        <v>5</v>
      </c>
      <c r="S24" s="968">
        <v>5</v>
      </c>
      <c r="T24" s="967">
        <v>5</v>
      </c>
      <c r="U24" s="729">
        <v>5</v>
      </c>
      <c r="V24" s="73">
        <v>5</v>
      </c>
      <c r="W24" s="73" t="s">
        <v>37</v>
      </c>
      <c r="X24" s="73" t="s">
        <v>37</v>
      </c>
      <c r="Y24" s="73"/>
      <c r="Z24" s="73">
        <v>5</v>
      </c>
      <c r="AA24" s="967">
        <v>5</v>
      </c>
      <c r="AB24" s="716">
        <v>4</v>
      </c>
      <c r="AC24" s="103">
        <v>5</v>
      </c>
      <c r="AD24" s="726">
        <v>4</v>
      </c>
      <c r="AE24" s="101">
        <v>5</v>
      </c>
      <c r="AF24" s="103"/>
      <c r="AG24" s="103"/>
      <c r="AH24" s="103"/>
      <c r="AI24" s="103"/>
      <c r="AJ24" s="103"/>
      <c r="AK24" s="103"/>
      <c r="AL24" s="103"/>
      <c r="AM24" s="103"/>
      <c r="AN24" s="103"/>
      <c r="AO24" s="654"/>
      <c r="AP24" s="76">
        <f t="shared" si="3"/>
        <v>4.8666666666666663</v>
      </c>
      <c r="AQ24" s="77">
        <f t="shared" si="4"/>
        <v>0</v>
      </c>
      <c r="AR24" s="77">
        <f t="shared" si="5"/>
        <v>0</v>
      </c>
    </row>
    <row r="25" spans="1:44" ht="16.5" customHeight="1">
      <c r="A25" s="969" t="s">
        <v>86</v>
      </c>
      <c r="B25" s="970" t="s">
        <v>87</v>
      </c>
      <c r="C25" s="78"/>
      <c r="D25" s="82"/>
      <c r="E25" s="971" t="s">
        <v>46</v>
      </c>
      <c r="F25" s="82"/>
      <c r="G25" s="82"/>
      <c r="H25" s="82"/>
      <c r="I25" s="82">
        <v>5</v>
      </c>
      <c r="J25" s="971" t="s">
        <v>46</v>
      </c>
      <c r="K25" s="971" t="s">
        <v>46</v>
      </c>
      <c r="L25" s="972" t="s">
        <v>48</v>
      </c>
      <c r="M25" s="116"/>
      <c r="N25" s="973" t="s">
        <v>48</v>
      </c>
      <c r="O25" s="974" t="s">
        <v>46</v>
      </c>
      <c r="P25" s="975" t="s">
        <v>46</v>
      </c>
      <c r="Q25" s="971" t="s">
        <v>46</v>
      </c>
      <c r="R25" s="976">
        <v>5</v>
      </c>
      <c r="S25" s="977" t="s">
        <v>46</v>
      </c>
      <c r="T25" s="934" t="s">
        <v>46</v>
      </c>
      <c r="U25" s="978">
        <v>5</v>
      </c>
      <c r="V25" s="976">
        <v>4</v>
      </c>
      <c r="W25" s="82" t="s">
        <v>37</v>
      </c>
      <c r="X25" s="82" t="s">
        <v>46</v>
      </c>
      <c r="Y25" s="82" t="s">
        <v>46</v>
      </c>
      <c r="Z25" s="82">
        <v>5</v>
      </c>
      <c r="AA25" s="934">
        <v>5</v>
      </c>
      <c r="AB25" s="108" t="s">
        <v>46</v>
      </c>
      <c r="AC25" s="96" t="s">
        <v>351</v>
      </c>
      <c r="AD25" s="734" t="s">
        <v>46</v>
      </c>
      <c r="AE25" s="108" t="s">
        <v>46</v>
      </c>
      <c r="AF25" s="96"/>
      <c r="AG25" s="96"/>
      <c r="AH25" s="96"/>
      <c r="AI25" s="96"/>
      <c r="AJ25" s="96"/>
      <c r="AK25" s="96"/>
      <c r="AL25" s="96"/>
      <c r="AM25" s="96"/>
      <c r="AN25" s="96"/>
      <c r="AO25" s="643"/>
      <c r="AP25" s="76">
        <f t="shared" si="3"/>
        <v>4.833333333333333</v>
      </c>
      <c r="AQ25" s="77">
        <f t="shared" si="4"/>
        <v>2</v>
      </c>
      <c r="AR25" s="77">
        <f t="shared" si="5"/>
        <v>13</v>
      </c>
    </row>
    <row r="26" spans="1:44" s="979" customFormat="1" ht="16.5" hidden="1" customHeight="1">
      <c r="A26" s="980" t="s">
        <v>86</v>
      </c>
      <c r="B26" s="981" t="s">
        <v>88</v>
      </c>
      <c r="C26" s="982"/>
      <c r="D26" s="983"/>
      <c r="E26" s="983"/>
      <c r="F26" s="983"/>
      <c r="G26" s="983"/>
      <c r="H26" s="983"/>
      <c r="I26" s="983"/>
      <c r="J26" s="983"/>
      <c r="K26" s="983"/>
      <c r="L26" s="984"/>
      <c r="M26" s="982"/>
      <c r="N26" s="985"/>
      <c r="O26" s="984"/>
      <c r="P26" s="982"/>
      <c r="Q26" s="983"/>
      <c r="R26" s="983"/>
      <c r="S26" s="983"/>
      <c r="T26" s="984"/>
      <c r="U26" s="982"/>
      <c r="V26" s="983"/>
      <c r="W26" s="983"/>
      <c r="X26" s="983"/>
      <c r="Y26" s="983"/>
      <c r="Z26" s="983"/>
      <c r="AA26" s="984"/>
      <c r="AB26" s="986"/>
      <c r="AC26" s="983"/>
      <c r="AD26" s="984"/>
      <c r="AE26" s="986"/>
      <c r="AF26" s="983"/>
      <c r="AG26" s="983"/>
      <c r="AH26" s="983"/>
      <c r="AI26" s="983"/>
      <c r="AJ26" s="983"/>
      <c r="AK26" s="983"/>
      <c r="AL26" s="983"/>
      <c r="AM26" s="983"/>
      <c r="AN26" s="983"/>
      <c r="AO26" s="987"/>
      <c r="AP26" s="988" t="str">
        <f t="shared" si="3"/>
        <v>Нет оценок</v>
      </c>
      <c r="AQ26" s="989">
        <f t="shared" si="4"/>
        <v>0</v>
      </c>
      <c r="AR26" s="989">
        <f t="shared" si="5"/>
        <v>0</v>
      </c>
    </row>
    <row r="27" spans="1:44" ht="16.5" customHeight="1">
      <c r="A27" s="980" t="s">
        <v>89</v>
      </c>
      <c r="B27" s="137" t="s">
        <v>90</v>
      </c>
      <c r="C27" s="729"/>
      <c r="D27" s="73"/>
      <c r="E27" s="73"/>
      <c r="F27" s="73"/>
      <c r="G27" s="73"/>
      <c r="H27" s="990" t="s">
        <v>46</v>
      </c>
      <c r="I27" s="73">
        <v>2</v>
      </c>
      <c r="J27" s="73">
        <v>3</v>
      </c>
      <c r="K27" s="73">
        <v>2</v>
      </c>
      <c r="L27" s="967">
        <v>5</v>
      </c>
      <c r="M27" s="729"/>
      <c r="N27" s="73"/>
      <c r="O27" s="967"/>
      <c r="P27" s="729"/>
      <c r="Q27" s="73"/>
      <c r="R27" s="73">
        <v>4</v>
      </c>
      <c r="S27" s="968">
        <v>5</v>
      </c>
      <c r="T27" s="967">
        <v>3</v>
      </c>
      <c r="U27" s="729">
        <v>5</v>
      </c>
      <c r="V27" s="73">
        <v>5</v>
      </c>
      <c r="W27" s="73">
        <v>2</v>
      </c>
      <c r="X27" s="73">
        <v>2</v>
      </c>
      <c r="Y27" s="73" t="s">
        <v>46</v>
      </c>
      <c r="Z27" s="73">
        <v>5</v>
      </c>
      <c r="AA27" s="991">
        <v>4</v>
      </c>
      <c r="AB27" s="992">
        <v>3</v>
      </c>
      <c r="AC27" s="73" t="s">
        <v>351</v>
      </c>
      <c r="AD27" s="967">
        <v>3</v>
      </c>
      <c r="AE27" s="95"/>
      <c r="AF27" s="73"/>
      <c r="AG27" s="73"/>
      <c r="AH27" s="73"/>
      <c r="AI27" s="73"/>
      <c r="AJ27" s="73"/>
      <c r="AK27" s="73"/>
      <c r="AL27" s="73"/>
      <c r="AM27" s="73"/>
      <c r="AN27" s="73"/>
      <c r="AO27" s="661"/>
      <c r="AP27" s="76">
        <f t="shared" si="3"/>
        <v>3.5333333333333332</v>
      </c>
      <c r="AQ27" s="77">
        <f t="shared" si="4"/>
        <v>0</v>
      </c>
      <c r="AR27" s="77">
        <f t="shared" si="5"/>
        <v>2</v>
      </c>
    </row>
    <row r="28" spans="1:44" ht="17.25" customHeight="1">
      <c r="A28" s="993" t="s">
        <v>91</v>
      </c>
      <c r="B28" s="151" t="s">
        <v>92</v>
      </c>
      <c r="C28" s="716"/>
      <c r="D28" s="103"/>
      <c r="E28" s="950" t="s">
        <v>46</v>
      </c>
      <c r="F28" s="103"/>
      <c r="G28" s="103"/>
      <c r="H28" s="103"/>
      <c r="I28" s="103">
        <v>4</v>
      </c>
      <c r="J28" s="103">
        <v>5</v>
      </c>
      <c r="K28" s="103">
        <v>5</v>
      </c>
      <c r="L28" s="994" t="s">
        <v>46</v>
      </c>
      <c r="M28" s="716"/>
      <c r="N28" s="950" t="s">
        <v>46</v>
      </c>
      <c r="O28" s="995" t="s">
        <v>48</v>
      </c>
      <c r="P28" s="716"/>
      <c r="Q28" s="103"/>
      <c r="R28" s="103">
        <v>4</v>
      </c>
      <c r="S28" s="951">
        <v>5</v>
      </c>
      <c r="T28" s="726">
        <v>4</v>
      </c>
      <c r="U28" s="996">
        <v>5</v>
      </c>
      <c r="V28" s="103" t="s">
        <v>46</v>
      </c>
      <c r="W28" s="103" t="s">
        <v>37</v>
      </c>
      <c r="X28" s="103" t="s">
        <v>46</v>
      </c>
      <c r="Y28" s="103"/>
      <c r="Z28" s="103" t="s">
        <v>46</v>
      </c>
      <c r="AA28" s="726" t="s">
        <v>351</v>
      </c>
      <c r="AB28" s="101" t="s">
        <v>46</v>
      </c>
      <c r="AC28" s="103" t="s">
        <v>351</v>
      </c>
      <c r="AD28" s="726" t="s">
        <v>46</v>
      </c>
      <c r="AE28" s="74" t="s">
        <v>46</v>
      </c>
      <c r="AF28" s="70"/>
      <c r="AG28" s="70"/>
      <c r="AH28" s="70"/>
      <c r="AI28" s="70"/>
      <c r="AJ28" s="70"/>
      <c r="AK28" s="70"/>
      <c r="AL28" s="70"/>
      <c r="AM28" s="70"/>
      <c r="AN28" s="70"/>
      <c r="AO28" s="97"/>
      <c r="AP28" s="76">
        <f t="shared" si="3"/>
        <v>4.5714285714285712</v>
      </c>
      <c r="AQ28" s="77">
        <f t="shared" si="4"/>
        <v>1</v>
      </c>
      <c r="AR28" s="77">
        <f t="shared" si="5"/>
        <v>9</v>
      </c>
    </row>
    <row r="29" spans="1:44" ht="15.75">
      <c r="A29" s="997" t="s">
        <v>93</v>
      </c>
      <c r="B29" s="998" t="s">
        <v>94</v>
      </c>
      <c r="AP29" s="127">
        <f>IFERROR(AVERAGE(AP5:AP28),"")</f>
        <v>4.2821163136380518</v>
      </c>
      <c r="AQ29" s="128">
        <f>SUM(AQ5:AQ28)</f>
        <v>11</v>
      </c>
      <c r="AR29" s="128">
        <f>SUM(AR5:AR28)</f>
        <v>107</v>
      </c>
    </row>
    <row r="30" spans="1:44" ht="15.75">
      <c r="A30" s="999">
        <v>45903</v>
      </c>
      <c r="B30" s="1000" t="s">
        <v>521</v>
      </c>
      <c r="C30" s="1001" t="s">
        <v>324</v>
      </c>
    </row>
    <row r="31" spans="1:44" ht="15.75">
      <c r="A31" s="1002">
        <v>45903</v>
      </c>
      <c r="B31" s="1003" t="s">
        <v>522</v>
      </c>
      <c r="C31" s="1004" t="s">
        <v>324</v>
      </c>
      <c r="G31" s="1400" t="s">
        <v>419</v>
      </c>
      <c r="H31" s="1401"/>
      <c r="I31" s="1402"/>
      <c r="J31" s="1005"/>
      <c r="K31" s="1403" t="s">
        <v>523</v>
      </c>
      <c r="L31" s="1404"/>
      <c r="M31" s="1405"/>
      <c r="N31" s="1005"/>
      <c r="O31" s="1406" t="s">
        <v>421</v>
      </c>
      <c r="P31" s="1407"/>
      <c r="Q31" s="1407"/>
      <c r="R31" s="1407"/>
      <c r="S31" s="1408"/>
    </row>
    <row r="32" spans="1:44" ht="31.5">
      <c r="A32" s="1002">
        <v>45909</v>
      </c>
      <c r="B32" s="1003" t="s">
        <v>524</v>
      </c>
      <c r="C32" s="1004" t="s">
        <v>324</v>
      </c>
      <c r="G32" s="1006" t="s">
        <v>324</v>
      </c>
      <c r="H32" s="1007">
        <v>46</v>
      </c>
      <c r="I32" s="1409" t="s">
        <v>525</v>
      </c>
      <c r="J32" s="1008"/>
      <c r="K32" s="1009" t="s">
        <v>324</v>
      </c>
      <c r="L32" s="1010">
        <f>COUNTIF(C30:C103,"Л")*2</f>
        <v>34</v>
      </c>
      <c r="M32" s="1411" t="s">
        <v>526</v>
      </c>
      <c r="N32" s="1008"/>
      <c r="O32" s="1011" t="s">
        <v>324</v>
      </c>
      <c r="P32" s="1012">
        <f t="shared" ref="P32:P34" si="6">H32-L32</f>
        <v>12</v>
      </c>
      <c r="Q32" s="1413" t="s">
        <v>527</v>
      </c>
      <c r="R32" s="1011">
        <f t="shared" ref="R32:R34" si="7">P32/2</f>
        <v>6</v>
      </c>
      <c r="S32" s="1415" t="s">
        <v>528</v>
      </c>
    </row>
    <row r="33" spans="1:19" ht="15.75">
      <c r="A33" s="1002">
        <v>45910</v>
      </c>
      <c r="B33" s="1003" t="s">
        <v>529</v>
      </c>
      <c r="C33" s="1004" t="s">
        <v>324</v>
      </c>
      <c r="G33" s="1006" t="s">
        <v>423</v>
      </c>
      <c r="H33" s="1007">
        <v>42</v>
      </c>
      <c r="I33" s="1410"/>
      <c r="J33" s="1008"/>
      <c r="K33" s="1009" t="s">
        <v>423</v>
      </c>
      <c r="L33" s="1010">
        <f>COUNTIF(C30:C103,"ПЗ")*2</f>
        <v>22</v>
      </c>
      <c r="M33" s="1412"/>
      <c r="N33" s="1008"/>
      <c r="O33" s="1011" t="s">
        <v>423</v>
      </c>
      <c r="P33" s="1012">
        <f t="shared" si="6"/>
        <v>20</v>
      </c>
      <c r="Q33" s="1414"/>
      <c r="R33" s="1011">
        <f t="shared" si="7"/>
        <v>10</v>
      </c>
      <c r="S33" s="1416"/>
    </row>
    <row r="34" spans="1:19" ht="31.5">
      <c r="A34" s="1002">
        <v>45912</v>
      </c>
      <c r="B34" s="1003" t="s">
        <v>530</v>
      </c>
      <c r="C34" s="1004" t="s">
        <v>324</v>
      </c>
      <c r="G34" s="1006" t="s">
        <v>430</v>
      </c>
      <c r="H34" s="1007">
        <v>4</v>
      </c>
      <c r="I34" s="1410"/>
      <c r="J34" s="1008"/>
      <c r="K34" s="1009" t="s">
        <v>430</v>
      </c>
      <c r="L34" s="1010">
        <f>COUNTIF(C30:C103,"К")*2</f>
        <v>2</v>
      </c>
      <c r="M34" s="1412"/>
      <c r="N34" s="1008"/>
      <c r="O34" s="1011" t="s">
        <v>430</v>
      </c>
      <c r="P34" s="1012">
        <f t="shared" si="6"/>
        <v>2</v>
      </c>
      <c r="Q34" s="1414"/>
      <c r="R34" s="1011">
        <f t="shared" si="7"/>
        <v>1</v>
      </c>
      <c r="S34" s="1416"/>
    </row>
    <row r="35" spans="1:19" ht="31.5">
      <c r="A35" s="1002">
        <v>45915</v>
      </c>
      <c r="B35" s="1003" t="s">
        <v>531</v>
      </c>
      <c r="C35" s="1004" t="s">
        <v>324</v>
      </c>
      <c r="O35" s="1417" t="s">
        <v>532</v>
      </c>
      <c r="P35" s="1417"/>
      <c r="Q35" s="1417"/>
      <c r="R35" s="1013">
        <f>SUM(R32:R34)</f>
        <v>17</v>
      </c>
    </row>
    <row r="36" spans="1:19" ht="31.5">
      <c r="A36" s="1002">
        <v>45918</v>
      </c>
      <c r="B36" s="855" t="s">
        <v>533</v>
      </c>
      <c r="C36" s="1014" t="s">
        <v>423</v>
      </c>
    </row>
    <row r="37" spans="1:19" ht="15.75">
      <c r="A37" s="1002">
        <v>45922</v>
      </c>
      <c r="B37" s="855" t="s">
        <v>534</v>
      </c>
      <c r="C37" s="1014" t="s">
        <v>423</v>
      </c>
    </row>
    <row r="38" spans="1:19" ht="15.75">
      <c r="A38" s="1002">
        <v>45922</v>
      </c>
      <c r="B38" s="855" t="s">
        <v>535</v>
      </c>
      <c r="C38" s="1014" t="s">
        <v>423</v>
      </c>
    </row>
    <row r="39" spans="1:19" ht="15.75">
      <c r="A39" s="1015">
        <v>45926</v>
      </c>
      <c r="B39" s="1016" t="s">
        <v>536</v>
      </c>
      <c r="C39" s="1017" t="s">
        <v>423</v>
      </c>
    </row>
    <row r="40" spans="1:19" ht="31.5">
      <c r="A40" s="1018">
        <v>45936</v>
      </c>
      <c r="B40" s="1019" t="s">
        <v>537</v>
      </c>
      <c r="C40" s="1001" t="s">
        <v>324</v>
      </c>
    </row>
    <row r="41" spans="1:19" ht="15.75">
      <c r="A41" s="1020">
        <v>45936</v>
      </c>
      <c r="B41" s="855" t="s">
        <v>538</v>
      </c>
      <c r="C41" s="1014" t="s">
        <v>423</v>
      </c>
    </row>
    <row r="42" spans="1:19" ht="15.75">
      <c r="A42" s="1021">
        <v>45940</v>
      </c>
      <c r="B42" s="1016" t="s">
        <v>539</v>
      </c>
      <c r="C42" s="1017" t="s">
        <v>423</v>
      </c>
    </row>
    <row r="43" spans="1:19" ht="31.5">
      <c r="A43" s="1022">
        <v>46036</v>
      </c>
      <c r="B43" s="1023" t="s">
        <v>540</v>
      </c>
      <c r="C43" s="1001" t="s">
        <v>324</v>
      </c>
    </row>
    <row r="44" spans="1:19" ht="15.75">
      <c r="A44" s="1024">
        <v>46038</v>
      </c>
      <c r="B44" s="1003" t="s">
        <v>541</v>
      </c>
      <c r="C44" s="1004" t="s">
        <v>324</v>
      </c>
    </row>
    <row r="45" spans="1:19" ht="31.5">
      <c r="A45" s="1024">
        <v>46041</v>
      </c>
      <c r="B45" s="855" t="s">
        <v>542</v>
      </c>
      <c r="C45" s="1014" t="s">
        <v>423</v>
      </c>
    </row>
    <row r="46" spans="1:19" ht="15.75">
      <c r="A46" s="1024">
        <v>46045</v>
      </c>
      <c r="B46" s="1025" t="s">
        <v>543</v>
      </c>
      <c r="C46" s="1026" t="s">
        <v>430</v>
      </c>
    </row>
    <row r="47" spans="1:19" ht="31.5">
      <c r="A47" s="1027">
        <v>46050</v>
      </c>
      <c r="B47" s="1028" t="s">
        <v>544</v>
      </c>
      <c r="C47" s="1029" t="s">
        <v>324</v>
      </c>
    </row>
    <row r="48" spans="1:19" ht="31.5">
      <c r="A48" s="1030">
        <v>46059</v>
      </c>
      <c r="B48" s="1031" t="s">
        <v>545</v>
      </c>
      <c r="C48" s="1032" t="s">
        <v>423</v>
      </c>
    </row>
    <row r="49" spans="1:3" ht="31.5">
      <c r="A49" s="1033">
        <v>46062</v>
      </c>
      <c r="B49" s="855" t="s">
        <v>546</v>
      </c>
      <c r="C49" s="1014" t="s">
        <v>423</v>
      </c>
    </row>
    <row r="50" spans="1:3" ht="47.25">
      <c r="A50" s="1033">
        <v>46064</v>
      </c>
      <c r="B50" s="1003" t="s">
        <v>547</v>
      </c>
      <c r="C50" s="1004" t="s">
        <v>324</v>
      </c>
    </row>
    <row r="51" spans="1:3" ht="31.5">
      <c r="A51" s="1033">
        <v>46067</v>
      </c>
      <c r="B51" s="1003" t="s">
        <v>548</v>
      </c>
      <c r="C51" s="1004" t="s">
        <v>324</v>
      </c>
    </row>
    <row r="52" spans="1:3" ht="47.25">
      <c r="A52" s="1033">
        <v>46078</v>
      </c>
      <c r="B52" s="1003" t="s">
        <v>549</v>
      </c>
      <c r="C52" s="1004" t="s">
        <v>324</v>
      </c>
    </row>
    <row r="53" spans="1:3" ht="47.25">
      <c r="A53" s="1033">
        <v>46079</v>
      </c>
      <c r="B53" s="1003" t="s">
        <v>550</v>
      </c>
      <c r="C53" s="1004" t="s">
        <v>324</v>
      </c>
    </row>
    <row r="54" spans="1:3" ht="15.75">
      <c r="A54" s="1034">
        <v>46080</v>
      </c>
      <c r="B54" s="1035" t="s">
        <v>551</v>
      </c>
      <c r="C54" s="1036" t="s">
        <v>324</v>
      </c>
    </row>
    <row r="55" spans="1:3" ht="31.5">
      <c r="A55" s="1037">
        <v>46087</v>
      </c>
      <c r="B55" s="1031" t="s">
        <v>552</v>
      </c>
      <c r="C55" s="1032" t="s">
        <v>423</v>
      </c>
    </row>
    <row r="56" spans="1:3" ht="31.5">
      <c r="A56" s="1038">
        <v>46094</v>
      </c>
      <c r="B56" s="1003" t="s">
        <v>553</v>
      </c>
      <c r="C56" s="1004" t="s">
        <v>324</v>
      </c>
    </row>
    <row r="57" spans="1:3" ht="31.5">
      <c r="A57" s="1039">
        <v>46111</v>
      </c>
      <c r="B57" s="1035" t="s">
        <v>554</v>
      </c>
      <c r="C57" s="1036" t="s">
        <v>324</v>
      </c>
    </row>
    <row r="58" spans="1:3" ht="31.5">
      <c r="A58" s="1040">
        <v>46113</v>
      </c>
      <c r="B58" s="1041" t="s">
        <v>555</v>
      </c>
      <c r="C58" s="1042" t="s">
        <v>423</v>
      </c>
    </row>
    <row r="59" spans="1:3" ht="15.75">
      <c r="A59" s="1043"/>
      <c r="B59" s="855"/>
      <c r="C59" s="1014"/>
    </row>
    <row r="60" spans="1:3" ht="15.75">
      <c r="A60" s="1043"/>
      <c r="B60" s="855"/>
      <c r="C60" s="1014"/>
    </row>
    <row r="61" spans="1:3" ht="15.75">
      <c r="A61" s="1043"/>
      <c r="B61" s="855"/>
      <c r="C61" s="1014"/>
    </row>
    <row r="62" spans="1:3" ht="15.75">
      <c r="A62" s="1043"/>
      <c r="B62" s="855"/>
      <c r="C62" s="1014"/>
    </row>
    <row r="63" spans="1:3" ht="15.75">
      <c r="A63" s="1043"/>
      <c r="B63" s="855"/>
      <c r="C63" s="1014"/>
    </row>
    <row r="64" spans="1:3" ht="15.75">
      <c r="A64" s="1043"/>
      <c r="B64" s="855"/>
      <c r="C64" s="1014"/>
    </row>
    <row r="65" spans="1:3" ht="15.75">
      <c r="A65" s="1044"/>
      <c r="B65" s="1045"/>
      <c r="C65" s="1014"/>
    </row>
    <row r="66" spans="1:3" ht="15.75">
      <c r="A66" s="1044"/>
      <c r="B66" s="1045"/>
      <c r="C66" s="1014"/>
    </row>
    <row r="67" spans="1:3" ht="15.75">
      <c r="A67" s="1046"/>
      <c r="B67" s="1"/>
      <c r="C67" s="1"/>
    </row>
    <row r="68" spans="1:3" ht="15.75">
      <c r="A68" s="1046"/>
      <c r="B68" s="1"/>
      <c r="C68" s="1"/>
    </row>
    <row r="69" spans="1:3" ht="15.75">
      <c r="A69" s="1046"/>
      <c r="B69" s="1"/>
      <c r="C69" s="1"/>
    </row>
    <row r="70" spans="1:3" ht="15.75">
      <c r="A70" s="1046"/>
      <c r="B70" s="1"/>
      <c r="C70" s="1"/>
    </row>
    <row r="71" spans="1:3" ht="15.75">
      <c r="A71" s="1046"/>
      <c r="B71" s="1"/>
      <c r="C71" s="1"/>
    </row>
    <row r="72" spans="1:3" ht="15.75">
      <c r="A72" s="1046"/>
      <c r="B72" s="1"/>
      <c r="C72" s="1"/>
    </row>
    <row r="73" spans="1:3" ht="15.75">
      <c r="A73" s="1046"/>
      <c r="B73" s="1"/>
      <c r="C73" s="1"/>
    </row>
    <row r="74" spans="1:3" ht="15.75">
      <c r="A74" s="1046"/>
      <c r="B74" s="1"/>
      <c r="C74" s="1"/>
    </row>
    <row r="75" spans="1:3" ht="15.75">
      <c r="A75" s="1046"/>
      <c r="B75" s="1"/>
      <c r="C75" s="1"/>
    </row>
    <row r="76" spans="1:3" ht="15.75">
      <c r="A76" s="1046"/>
      <c r="B76" s="1"/>
      <c r="C76" s="1"/>
    </row>
    <row r="77" spans="1:3" ht="15.75">
      <c r="A77" s="1046"/>
      <c r="B77" s="1"/>
      <c r="C77" s="1"/>
    </row>
    <row r="78" spans="1:3" ht="15.75">
      <c r="A78" s="1046"/>
      <c r="B78" s="1"/>
      <c r="C78" s="1"/>
    </row>
    <row r="79" spans="1:3" ht="15.75">
      <c r="A79" s="1046"/>
      <c r="B79" s="1"/>
      <c r="C79" s="1"/>
    </row>
    <row r="80" spans="1:3" ht="15.75">
      <c r="A80" s="1046"/>
      <c r="B80" s="1"/>
      <c r="C80" s="1"/>
    </row>
    <row r="81" spans="1:3" ht="15.75">
      <c r="A81" s="1046"/>
      <c r="B81" s="1"/>
      <c r="C81" s="1"/>
    </row>
    <row r="82" spans="1:3" ht="15.75">
      <c r="A82" s="1046"/>
      <c r="B82" s="1"/>
      <c r="C82" s="1"/>
    </row>
    <row r="83" spans="1:3" ht="15.75">
      <c r="A83" s="1046"/>
      <c r="B83" s="1"/>
      <c r="C83" s="1"/>
    </row>
    <row r="84" spans="1:3" ht="15.75">
      <c r="A84" s="1046"/>
      <c r="B84" s="1"/>
      <c r="C84" s="1"/>
    </row>
    <row r="85" spans="1:3" ht="15.75">
      <c r="A85" s="1046"/>
      <c r="B85" s="1"/>
      <c r="C85" s="1"/>
    </row>
    <row r="86" spans="1:3" ht="15.75">
      <c r="A86" s="1046"/>
      <c r="B86" s="1"/>
      <c r="C86" s="1"/>
    </row>
    <row r="87" spans="1:3" ht="15.75">
      <c r="A87" s="1046"/>
      <c r="B87" s="1"/>
      <c r="C87" s="1"/>
    </row>
    <row r="88" spans="1:3" ht="15.75">
      <c r="A88" s="1046"/>
      <c r="B88" s="1"/>
      <c r="C88" s="1"/>
    </row>
    <row r="89" spans="1:3" ht="15.75">
      <c r="A89" s="1046"/>
      <c r="B89" s="1"/>
      <c r="C89" s="1"/>
    </row>
    <row r="90" spans="1:3" ht="15.75">
      <c r="A90" s="1046"/>
      <c r="B90" s="1"/>
      <c r="C90" s="1"/>
    </row>
    <row r="91" spans="1:3" ht="15.75">
      <c r="A91" s="1046"/>
      <c r="B91" s="1"/>
      <c r="C91" s="1"/>
    </row>
    <row r="92" spans="1:3" ht="15.75">
      <c r="A92" s="1046"/>
      <c r="B92" s="1"/>
      <c r="C92" s="1"/>
    </row>
    <row r="93" spans="1:3" ht="15.75">
      <c r="A93" s="1046"/>
      <c r="B93" s="1"/>
      <c r="C93" s="1"/>
    </row>
    <row r="94" spans="1:3" ht="15.75">
      <c r="A94" s="1046"/>
      <c r="B94" s="1"/>
      <c r="C94" s="1"/>
    </row>
    <row r="95" spans="1:3" ht="15.75">
      <c r="A95" s="1046"/>
      <c r="B95" s="1"/>
      <c r="C95" s="1"/>
    </row>
    <row r="96" spans="1:3" ht="15.75">
      <c r="A96" s="1046"/>
      <c r="B96" s="1"/>
      <c r="C96" s="1"/>
    </row>
    <row r="97" spans="1:3" ht="15.75">
      <c r="A97" s="1046"/>
      <c r="B97" s="1"/>
      <c r="C97" s="1"/>
    </row>
    <row r="98" spans="1:3" ht="15.75">
      <c r="A98" s="1046"/>
      <c r="B98" s="1"/>
      <c r="C98" s="1"/>
    </row>
    <row r="99" spans="1:3" ht="15.75">
      <c r="A99" s="1046"/>
      <c r="B99" s="1"/>
      <c r="C99" s="1"/>
    </row>
    <row r="100" spans="1:3" ht="15.75">
      <c r="A100" s="1046"/>
      <c r="B100" s="1"/>
      <c r="C100" s="1"/>
    </row>
  </sheetData>
  <mergeCells count="20">
    <mergeCell ref="O35:Q35"/>
    <mergeCell ref="AQ3:AR3"/>
    <mergeCell ref="G31:I31"/>
    <mergeCell ref="K31:M31"/>
    <mergeCell ref="O31:S31"/>
    <mergeCell ref="I32:I34"/>
    <mergeCell ref="M32:M34"/>
    <mergeCell ref="Q32:Q34"/>
    <mergeCell ref="S32:S34"/>
    <mergeCell ref="A1:B1"/>
    <mergeCell ref="C1:AN1"/>
    <mergeCell ref="A2:B2"/>
    <mergeCell ref="C2:AN2"/>
    <mergeCell ref="A3:A4"/>
    <mergeCell ref="C3:L3"/>
    <mergeCell ref="M3:O3"/>
    <mergeCell ref="P3:T3"/>
    <mergeCell ref="U3:AA3"/>
    <mergeCell ref="AB3:AD3"/>
    <mergeCell ref="AE3:AG3"/>
  </mergeCells>
  <conditionalFormatting sqref="AR5:AR28">
    <cfRule type="cellIs" dxfId="30" priority="5" operator="greaterThan">
      <formula>0</formula>
    </cfRule>
  </conditionalFormatting>
  <conditionalFormatting sqref="AP5:AP29">
    <cfRule type="cellIs" dxfId="29" priority="4" operator="lessThan">
      <formula>3</formula>
    </cfRule>
  </conditionalFormatting>
  <conditionalFormatting sqref="R5:AO13 R14:AC14 AE14:AO14 R15:AO21 R22:AC22 AF22:AO22 R23:AO28">
    <cfRule type="containsText" dxfId="28" priority="3" operator="containsText" text="н">
      <formula>NOT(ISERROR(SEARCH("н",R5)))</formula>
    </cfRule>
  </conditionalFormatting>
  <conditionalFormatting sqref="R5:AO13 R14:AC14 AE14:AO14 R15:AO21 R22:AC22 AF22:AO22 R23:AO28">
    <cfRule type="containsText" dxfId="27" priority="2" operator="containsText" text="н/у">
      <formula>NOT(ISERROR(SEARCH("н/у",R5)))</formula>
    </cfRule>
  </conditionalFormatting>
  <conditionalFormatting sqref="U5:AN13 U14:AC14 AE14:AN14 U15:AN21 U22:AC22 AF22:AN22 U23:AN28">
    <cfRule type="containsText" dxfId="26" priority="1" operator="containsText" text=".">
      <formula>NOT(ISERROR(SEARCH(".",U5)))</formula>
    </cfRule>
  </conditionalFormatting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D67"/>
  <sheetViews>
    <sheetView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customWidth="1"/>
    <col min="2" max="2" width="35" customWidth="1"/>
    <col min="3" max="27" width="2.77734375" customWidth="1"/>
    <col min="28" max="28" width="10.6640625" customWidth="1"/>
    <col min="29" max="30" width="8.109375" customWidth="1"/>
  </cols>
  <sheetData>
    <row r="1" spans="1:30" ht="26.25" customHeight="1">
      <c r="A1" s="1277" t="s">
        <v>38</v>
      </c>
      <c r="B1" s="1277"/>
      <c r="C1" s="1310" t="s">
        <v>556</v>
      </c>
      <c r="D1" s="1310"/>
      <c r="E1" s="1310"/>
      <c r="F1" s="1310"/>
      <c r="G1" s="1310"/>
      <c r="H1" s="1310"/>
      <c r="I1" s="1310"/>
      <c r="J1" s="1310"/>
      <c r="K1" s="1310"/>
      <c r="L1" s="1310"/>
      <c r="M1" s="1310"/>
      <c r="N1" s="1310"/>
      <c r="O1" s="1310"/>
      <c r="P1" s="1310"/>
      <c r="Q1" s="1310"/>
      <c r="R1" s="1310"/>
      <c r="S1" s="1310"/>
      <c r="T1" s="1310"/>
      <c r="U1" s="1310"/>
      <c r="V1" s="1310"/>
      <c r="W1" s="1310"/>
      <c r="X1" s="1310"/>
      <c r="Y1" s="1310"/>
      <c r="Z1" s="1310"/>
      <c r="AA1" s="28"/>
    </row>
    <row r="2" spans="1:30" ht="26.25" customHeight="1">
      <c r="A2" s="1277" t="s">
        <v>39</v>
      </c>
      <c r="B2" s="1277"/>
      <c r="C2" s="1277" t="s">
        <v>557</v>
      </c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30"/>
      <c r="AB2" s="32"/>
      <c r="AC2" s="32"/>
      <c r="AD2" s="32"/>
    </row>
    <row r="3" spans="1:30" ht="15.75">
      <c r="A3" s="1281" t="s">
        <v>41</v>
      </c>
      <c r="B3" s="129" t="s">
        <v>42</v>
      </c>
      <c r="C3" s="1047">
        <v>9</v>
      </c>
      <c r="D3" s="1048">
        <v>9</v>
      </c>
      <c r="E3" s="1048">
        <v>9</v>
      </c>
      <c r="F3" s="1048">
        <v>9</v>
      </c>
      <c r="G3" s="1048">
        <v>9</v>
      </c>
      <c r="H3" s="1048">
        <v>9</v>
      </c>
      <c r="I3" s="1048">
        <v>9</v>
      </c>
      <c r="J3" s="1049">
        <v>10</v>
      </c>
      <c r="K3" s="1049">
        <v>10</v>
      </c>
      <c r="L3" s="1049">
        <v>10</v>
      </c>
      <c r="M3" s="1049">
        <v>10</v>
      </c>
      <c r="N3" s="1049">
        <v>11</v>
      </c>
      <c r="O3" s="1049">
        <v>11</v>
      </c>
      <c r="P3" s="1049">
        <v>11</v>
      </c>
      <c r="Q3" s="1049">
        <v>11</v>
      </c>
      <c r="R3" s="1049">
        <v>11</v>
      </c>
      <c r="S3" s="1049">
        <v>11</v>
      </c>
      <c r="T3" s="1049">
        <v>11</v>
      </c>
      <c r="U3" s="1050">
        <v>12</v>
      </c>
      <c r="V3" s="1050">
        <v>12</v>
      </c>
      <c r="W3" s="1050">
        <v>12</v>
      </c>
      <c r="X3" s="1050">
        <v>12</v>
      </c>
      <c r="Y3" s="1051">
        <v>12</v>
      </c>
      <c r="Z3" s="1051">
        <v>12</v>
      </c>
      <c r="AA3" s="1052">
        <v>12</v>
      </c>
      <c r="AB3" s="45"/>
      <c r="AC3" s="1278" t="s">
        <v>0</v>
      </c>
      <c r="AD3" s="1279"/>
    </row>
    <row r="4" spans="1:30" ht="15.75">
      <c r="A4" s="1282"/>
      <c r="B4" s="132" t="s">
        <v>43</v>
      </c>
      <c r="C4" s="1053">
        <v>4</v>
      </c>
      <c r="D4" s="1054">
        <v>5</v>
      </c>
      <c r="E4" s="1054">
        <v>6</v>
      </c>
      <c r="F4" s="1054">
        <v>6</v>
      </c>
      <c r="G4" s="1054">
        <v>15</v>
      </c>
      <c r="H4" s="1054">
        <v>19</v>
      </c>
      <c r="I4" s="1054">
        <v>22</v>
      </c>
      <c r="J4" s="1055">
        <v>6</v>
      </c>
      <c r="K4" s="1055">
        <v>10</v>
      </c>
      <c r="L4" s="1055">
        <v>14</v>
      </c>
      <c r="M4" s="1055">
        <v>23</v>
      </c>
      <c r="N4" s="1055">
        <v>1</v>
      </c>
      <c r="O4" s="1055">
        <v>12</v>
      </c>
      <c r="P4" s="1055">
        <v>13</v>
      </c>
      <c r="Q4" s="1055">
        <v>26</v>
      </c>
      <c r="R4" s="1055">
        <v>27</v>
      </c>
      <c r="S4" s="1055">
        <v>29</v>
      </c>
      <c r="T4" s="1055">
        <v>29</v>
      </c>
      <c r="U4" s="1056">
        <v>1</v>
      </c>
      <c r="V4" s="1056">
        <v>3</v>
      </c>
      <c r="W4" s="1056">
        <v>8</v>
      </c>
      <c r="X4" s="1056">
        <v>9</v>
      </c>
      <c r="Y4" s="1057">
        <v>10</v>
      </c>
      <c r="Z4" s="1057">
        <v>11</v>
      </c>
      <c r="AA4" s="135">
        <v>22</v>
      </c>
      <c r="AB4" s="45" t="s">
        <v>33</v>
      </c>
      <c r="AC4" s="60" t="s">
        <v>5</v>
      </c>
      <c r="AD4" s="60" t="s">
        <v>6</v>
      </c>
    </row>
    <row r="5" spans="1:30" ht="16.5" customHeight="1">
      <c r="A5" s="136" t="s">
        <v>44</v>
      </c>
      <c r="B5" s="1058" t="s">
        <v>45</v>
      </c>
      <c r="C5" s="96"/>
      <c r="D5" s="96"/>
      <c r="E5" s="96"/>
      <c r="F5" s="96"/>
      <c r="G5" s="96">
        <v>5</v>
      </c>
      <c r="H5" s="96"/>
      <c r="I5" s="96"/>
      <c r="J5" s="96"/>
      <c r="K5" s="96">
        <v>5</v>
      </c>
      <c r="L5" s="96">
        <v>5</v>
      </c>
      <c r="M5" s="96"/>
      <c r="N5" s="96"/>
      <c r="O5" s="96">
        <v>5</v>
      </c>
      <c r="P5" s="96">
        <v>5</v>
      </c>
      <c r="Q5" s="96"/>
      <c r="R5" s="96">
        <v>5</v>
      </c>
      <c r="S5" s="96"/>
      <c r="T5" s="96">
        <v>4</v>
      </c>
      <c r="U5" s="96">
        <v>5</v>
      </c>
      <c r="V5" s="96"/>
      <c r="W5" s="96"/>
      <c r="X5" s="96"/>
      <c r="Y5" s="96"/>
      <c r="Z5" s="96"/>
      <c r="AA5" s="141">
        <v>4</v>
      </c>
      <c r="AB5" s="76">
        <f t="shared" ref="AB5:AB9" si="0">IFERROR(AVERAGE(C5:Z5),"Нет оценок")</f>
        <v>4.875</v>
      </c>
      <c r="AC5" s="77">
        <f t="shared" ref="AC5:AC9" si="1">COUNTIF(C5:Z5,"н/у")</f>
        <v>0</v>
      </c>
      <c r="AD5" s="77">
        <f t="shared" ref="AD5:AD9" si="2">COUNTIF(C5:Z5,"н")</f>
        <v>0</v>
      </c>
    </row>
    <row r="6" spans="1:30" ht="16.5" customHeight="1">
      <c r="A6" s="139" t="s">
        <v>49</v>
      </c>
      <c r="B6" s="1059" t="s">
        <v>50</v>
      </c>
      <c r="C6" s="70"/>
      <c r="D6" s="70"/>
      <c r="E6" s="70"/>
      <c r="F6" s="70"/>
      <c r="G6" s="70">
        <v>5</v>
      </c>
      <c r="H6" s="70"/>
      <c r="I6" s="70"/>
      <c r="J6" s="70"/>
      <c r="K6" s="70">
        <v>3</v>
      </c>
      <c r="L6" s="70"/>
      <c r="M6" s="70"/>
      <c r="N6" s="70"/>
      <c r="O6" s="70">
        <v>5</v>
      </c>
      <c r="P6" s="70">
        <v>4</v>
      </c>
      <c r="Q6" s="70"/>
      <c r="R6" s="70">
        <v>4</v>
      </c>
      <c r="S6" s="70"/>
      <c r="T6" s="70">
        <v>5</v>
      </c>
      <c r="U6" s="70">
        <v>4</v>
      </c>
      <c r="V6" s="70"/>
      <c r="W6" s="70"/>
      <c r="X6" s="70"/>
      <c r="Y6" s="70">
        <v>4</v>
      </c>
      <c r="Z6" s="70"/>
      <c r="AA6" s="138">
        <v>4</v>
      </c>
      <c r="AB6" s="76">
        <f t="shared" si="0"/>
        <v>4.25</v>
      </c>
      <c r="AC6" s="77">
        <f t="shared" si="1"/>
        <v>0</v>
      </c>
      <c r="AD6" s="77">
        <f t="shared" si="2"/>
        <v>0</v>
      </c>
    </row>
    <row r="7" spans="1:30" ht="16.5" customHeight="1">
      <c r="A7" s="204" t="s">
        <v>51</v>
      </c>
      <c r="B7" s="1060" t="s">
        <v>52</v>
      </c>
      <c r="C7" s="70"/>
      <c r="D7" s="70"/>
      <c r="E7" s="70"/>
      <c r="F7" s="70"/>
      <c r="G7" s="70">
        <v>4</v>
      </c>
      <c r="H7" s="70"/>
      <c r="I7" s="70"/>
      <c r="J7" s="70"/>
      <c r="K7" s="70">
        <v>4</v>
      </c>
      <c r="L7" s="70">
        <v>5</v>
      </c>
      <c r="M7" s="70">
        <v>5</v>
      </c>
      <c r="N7" s="70"/>
      <c r="O7" s="70">
        <v>5</v>
      </c>
      <c r="P7" s="70">
        <v>5</v>
      </c>
      <c r="Q7" s="70"/>
      <c r="R7" s="70">
        <v>5</v>
      </c>
      <c r="S7" s="70"/>
      <c r="T7" s="70"/>
      <c r="U7" s="70">
        <v>5</v>
      </c>
      <c r="V7" s="70"/>
      <c r="W7" s="70"/>
      <c r="X7" s="70"/>
      <c r="Y7" s="70">
        <v>4</v>
      </c>
      <c r="Z7" s="70"/>
      <c r="AA7" s="138">
        <v>4</v>
      </c>
      <c r="AB7" s="76">
        <f t="shared" si="0"/>
        <v>4.666666666666667</v>
      </c>
      <c r="AC7" s="77">
        <f t="shared" si="1"/>
        <v>0</v>
      </c>
      <c r="AD7" s="77">
        <f t="shared" si="2"/>
        <v>0</v>
      </c>
    </row>
    <row r="8" spans="1:30" ht="16.5" customHeight="1">
      <c r="A8" s="144" t="s">
        <v>53</v>
      </c>
      <c r="B8" s="1060" t="s">
        <v>54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>
        <v>3</v>
      </c>
      <c r="Q8" s="70"/>
      <c r="R8" s="70">
        <v>4</v>
      </c>
      <c r="S8" s="70"/>
      <c r="T8" s="70">
        <v>5</v>
      </c>
      <c r="U8" s="70">
        <v>3</v>
      </c>
      <c r="V8" s="70"/>
      <c r="W8" s="70"/>
      <c r="X8" s="70"/>
      <c r="Y8" s="70">
        <v>5</v>
      </c>
      <c r="Z8" s="70"/>
      <c r="AA8" s="138">
        <v>4</v>
      </c>
      <c r="AB8" s="76">
        <f t="shared" si="0"/>
        <v>4</v>
      </c>
      <c r="AC8" s="77">
        <f t="shared" si="1"/>
        <v>0</v>
      </c>
      <c r="AD8" s="77">
        <f t="shared" si="2"/>
        <v>0</v>
      </c>
    </row>
    <row r="9" spans="1:30" ht="16.5" customHeight="1">
      <c r="A9" s="146" t="s">
        <v>55</v>
      </c>
      <c r="B9" s="1061" t="s">
        <v>56</v>
      </c>
      <c r="C9" s="103"/>
      <c r="D9" s="103"/>
      <c r="E9" s="103"/>
      <c r="F9" s="103"/>
      <c r="G9" s="103">
        <v>4</v>
      </c>
      <c r="H9" s="103"/>
      <c r="I9" s="103"/>
      <c r="J9" s="103"/>
      <c r="K9" s="103"/>
      <c r="L9" s="103">
        <v>5</v>
      </c>
      <c r="M9" s="103">
        <v>5</v>
      </c>
      <c r="N9" s="103"/>
      <c r="O9" s="103"/>
      <c r="P9" s="103">
        <v>5</v>
      </c>
      <c r="Q9" s="103"/>
      <c r="R9" s="103">
        <v>5</v>
      </c>
      <c r="S9" s="103"/>
      <c r="T9" s="103">
        <v>5</v>
      </c>
      <c r="U9" s="103">
        <v>5</v>
      </c>
      <c r="V9" s="103"/>
      <c r="W9" s="103"/>
      <c r="X9" s="103"/>
      <c r="Y9" s="103">
        <v>5</v>
      </c>
      <c r="Z9" s="103"/>
      <c r="AA9" s="152">
        <v>4</v>
      </c>
      <c r="AB9" s="76">
        <f t="shared" si="0"/>
        <v>4.875</v>
      </c>
      <c r="AC9" s="77">
        <f t="shared" si="1"/>
        <v>0</v>
      </c>
      <c r="AD9" s="77">
        <f t="shared" si="2"/>
        <v>0</v>
      </c>
    </row>
    <row r="10" spans="1:30" ht="16.5" customHeight="1">
      <c r="A10" s="149" t="s">
        <v>57</v>
      </c>
      <c r="B10" s="1058" t="s">
        <v>58</v>
      </c>
      <c r="C10" s="96"/>
      <c r="D10" s="96"/>
      <c r="E10" s="96"/>
      <c r="F10" s="96"/>
      <c r="G10" s="96">
        <v>4</v>
      </c>
      <c r="H10" s="96"/>
      <c r="I10" s="96"/>
      <c r="J10" s="96"/>
      <c r="K10" s="96">
        <v>5</v>
      </c>
      <c r="L10" s="96">
        <v>5</v>
      </c>
      <c r="M10" s="96">
        <v>5</v>
      </c>
      <c r="N10" s="96"/>
      <c r="O10" s="96">
        <v>5</v>
      </c>
      <c r="P10" s="96">
        <v>4</v>
      </c>
      <c r="Q10" s="96"/>
      <c r="R10" s="96">
        <v>5</v>
      </c>
      <c r="S10" s="96"/>
      <c r="T10" s="96">
        <v>5</v>
      </c>
      <c r="U10" s="96">
        <v>5</v>
      </c>
      <c r="V10" s="96"/>
      <c r="W10" s="96"/>
      <c r="X10" s="96"/>
      <c r="Y10" s="96">
        <v>5</v>
      </c>
      <c r="Z10" s="96"/>
      <c r="AA10" s="141">
        <v>4</v>
      </c>
      <c r="AB10" s="76">
        <f t="shared" ref="AB10:AB28" si="3">IFERROR(AVERAGE(C10:Z10),"Нет оценок")</f>
        <v>4.8</v>
      </c>
      <c r="AC10" s="77">
        <f t="shared" ref="AC10:AC28" si="4">COUNTIF(C10:Z10,"н/у")</f>
        <v>0</v>
      </c>
      <c r="AD10" s="77">
        <f t="shared" ref="AD10:AD28" si="5">COUNTIF(C10:Z10,"н")</f>
        <v>0</v>
      </c>
    </row>
    <row r="11" spans="1:30" ht="16.5" customHeight="1">
      <c r="A11" s="144" t="s">
        <v>59</v>
      </c>
      <c r="B11" s="1060" t="s">
        <v>60</v>
      </c>
      <c r="C11" s="70"/>
      <c r="D11" s="1062"/>
      <c r="E11" s="1062"/>
      <c r="F11" s="1062"/>
      <c r="G11" s="1062">
        <v>5</v>
      </c>
      <c r="H11" s="1062"/>
      <c r="I11" s="70"/>
      <c r="J11" s="70"/>
      <c r="K11" s="70">
        <v>3</v>
      </c>
      <c r="L11" s="70"/>
      <c r="M11" s="70">
        <v>5</v>
      </c>
      <c r="N11" s="70"/>
      <c r="O11" s="1062"/>
      <c r="P11" s="70"/>
      <c r="Q11" s="70"/>
      <c r="R11" s="70">
        <v>4</v>
      </c>
      <c r="S11" s="70"/>
      <c r="T11" s="70">
        <v>5</v>
      </c>
      <c r="U11" s="70">
        <v>4</v>
      </c>
      <c r="V11" s="70"/>
      <c r="W11" s="70"/>
      <c r="X11" s="70"/>
      <c r="Y11" s="70">
        <v>4</v>
      </c>
      <c r="Z11" s="70"/>
      <c r="AA11" s="138">
        <v>4</v>
      </c>
      <c r="AB11" s="76">
        <f t="shared" si="3"/>
        <v>4.2857142857142856</v>
      </c>
      <c r="AC11" s="77">
        <f t="shared" si="4"/>
        <v>0</v>
      </c>
      <c r="AD11" s="77">
        <f t="shared" si="5"/>
        <v>0</v>
      </c>
    </row>
    <row r="12" spans="1:30" ht="16.5" customHeight="1">
      <c r="A12" s="144" t="s">
        <v>61</v>
      </c>
      <c r="B12" s="1060" t="s">
        <v>62</v>
      </c>
      <c r="C12" s="70"/>
      <c r="D12" s="1062"/>
      <c r="E12" s="1062"/>
      <c r="F12" s="1062"/>
      <c r="G12" s="1062"/>
      <c r="H12" s="1062"/>
      <c r="I12" s="1062"/>
      <c r="J12" s="70"/>
      <c r="K12" s="70">
        <v>5</v>
      </c>
      <c r="L12" s="70">
        <v>5</v>
      </c>
      <c r="M12" s="70">
        <v>4</v>
      </c>
      <c r="N12" s="70"/>
      <c r="O12" s="70"/>
      <c r="P12" s="70">
        <v>3</v>
      </c>
      <c r="Q12" s="70"/>
      <c r="R12" s="70">
        <v>5</v>
      </c>
      <c r="S12" s="70"/>
      <c r="T12" s="70">
        <v>5</v>
      </c>
      <c r="U12" s="70">
        <v>4</v>
      </c>
      <c r="V12" s="70"/>
      <c r="W12" s="70"/>
      <c r="X12" s="70"/>
      <c r="Y12" s="70">
        <v>4</v>
      </c>
      <c r="Z12" s="70"/>
      <c r="AA12" s="138">
        <v>5</v>
      </c>
      <c r="AB12" s="76">
        <f t="shared" si="3"/>
        <v>4.375</v>
      </c>
      <c r="AC12" s="77">
        <f t="shared" si="4"/>
        <v>0</v>
      </c>
      <c r="AD12" s="77">
        <f t="shared" si="5"/>
        <v>0</v>
      </c>
    </row>
    <row r="13" spans="1:30" ht="18.75" customHeight="1">
      <c r="A13" s="144" t="s">
        <v>63</v>
      </c>
      <c r="B13" s="1060" t="s">
        <v>64</v>
      </c>
      <c r="C13" s="70"/>
      <c r="D13" s="1062"/>
      <c r="E13" s="1062"/>
      <c r="F13" s="1062"/>
      <c r="G13" s="1062">
        <v>4</v>
      </c>
      <c r="H13" s="1062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>
        <v>3</v>
      </c>
      <c r="V13" s="70"/>
      <c r="W13" s="70"/>
      <c r="X13" s="70"/>
      <c r="Y13" s="70">
        <v>2</v>
      </c>
      <c r="Z13" s="70"/>
      <c r="AA13" s="138">
        <v>3</v>
      </c>
      <c r="AB13" s="76">
        <f t="shared" si="3"/>
        <v>3</v>
      </c>
      <c r="AC13" s="77">
        <f t="shared" si="4"/>
        <v>0</v>
      </c>
      <c r="AD13" s="77">
        <f t="shared" si="5"/>
        <v>0</v>
      </c>
    </row>
    <row r="14" spans="1:30" ht="15.75" customHeight="1">
      <c r="A14" s="146" t="s">
        <v>65</v>
      </c>
      <c r="B14" s="1061" t="s">
        <v>66</v>
      </c>
      <c r="C14" s="103"/>
      <c r="D14" s="1063"/>
      <c r="E14" s="1063"/>
      <c r="F14" s="1063"/>
      <c r="G14" s="1063">
        <v>3</v>
      </c>
      <c r="H14" s="1063"/>
      <c r="I14" s="103"/>
      <c r="J14" s="103"/>
      <c r="K14" s="103">
        <v>2</v>
      </c>
      <c r="L14" s="103"/>
      <c r="M14" s="103"/>
      <c r="N14" s="103"/>
      <c r="O14" s="103">
        <v>5</v>
      </c>
      <c r="P14" s="103">
        <v>3</v>
      </c>
      <c r="Q14" s="103"/>
      <c r="R14" s="103">
        <v>5</v>
      </c>
      <c r="S14" s="103"/>
      <c r="T14" s="103">
        <v>4</v>
      </c>
      <c r="U14" s="103">
        <v>3</v>
      </c>
      <c r="V14" s="103"/>
      <c r="W14" s="103"/>
      <c r="X14" s="103"/>
      <c r="Y14" s="103">
        <v>4</v>
      </c>
      <c r="Z14" s="103"/>
      <c r="AA14" s="152">
        <v>4</v>
      </c>
      <c r="AB14" s="76">
        <f t="shared" si="3"/>
        <v>3.625</v>
      </c>
      <c r="AC14" s="77">
        <f t="shared" si="4"/>
        <v>0</v>
      </c>
      <c r="AD14" s="77">
        <f t="shared" si="5"/>
        <v>0</v>
      </c>
    </row>
    <row r="15" spans="1:30" ht="16.5" customHeight="1">
      <c r="A15" s="149" t="s">
        <v>67</v>
      </c>
      <c r="B15" s="1058" t="s">
        <v>68</v>
      </c>
      <c r="C15" s="96"/>
      <c r="D15" s="1064"/>
      <c r="E15" s="1064"/>
      <c r="F15" s="1064"/>
      <c r="G15" s="1064">
        <v>3</v>
      </c>
      <c r="H15" s="1064"/>
      <c r="I15" s="1064"/>
      <c r="J15" s="96"/>
      <c r="K15" s="96">
        <v>4</v>
      </c>
      <c r="L15" s="96">
        <v>5</v>
      </c>
      <c r="M15" s="96"/>
      <c r="N15" s="96"/>
      <c r="O15" s="96">
        <v>5</v>
      </c>
      <c r="P15" s="96">
        <v>4</v>
      </c>
      <c r="Q15" s="96"/>
      <c r="R15" s="96">
        <v>5</v>
      </c>
      <c r="S15" s="96"/>
      <c r="T15" s="96">
        <v>5</v>
      </c>
      <c r="U15" s="96">
        <v>3</v>
      </c>
      <c r="V15" s="96"/>
      <c r="W15" s="96"/>
      <c r="X15" s="96"/>
      <c r="Y15" s="96">
        <v>5</v>
      </c>
      <c r="Z15" s="96"/>
      <c r="AA15" s="141">
        <v>4</v>
      </c>
      <c r="AB15" s="76">
        <f t="shared" si="3"/>
        <v>4.333333333333333</v>
      </c>
      <c r="AC15" s="77">
        <f t="shared" si="4"/>
        <v>0</v>
      </c>
      <c r="AD15" s="77">
        <f t="shared" si="5"/>
        <v>0</v>
      </c>
    </row>
    <row r="16" spans="1:30" ht="16.5" customHeight="1">
      <c r="A16" s="144" t="s">
        <v>69</v>
      </c>
      <c r="B16" s="1060" t="s">
        <v>70</v>
      </c>
      <c r="C16" s="70"/>
      <c r="D16" s="70"/>
      <c r="E16" s="70"/>
      <c r="F16" s="70"/>
      <c r="G16" s="70">
        <v>4</v>
      </c>
      <c r="H16" s="70"/>
      <c r="I16" s="70"/>
      <c r="J16" s="70"/>
      <c r="K16" s="70">
        <v>4</v>
      </c>
      <c r="L16" s="70">
        <v>5</v>
      </c>
      <c r="M16" s="70">
        <v>5</v>
      </c>
      <c r="N16" s="70"/>
      <c r="O16" s="70">
        <v>5</v>
      </c>
      <c r="P16" s="70">
        <v>5</v>
      </c>
      <c r="Q16" s="70"/>
      <c r="R16" s="70">
        <v>5</v>
      </c>
      <c r="S16" s="70"/>
      <c r="T16" s="70">
        <v>5</v>
      </c>
      <c r="U16" s="70">
        <v>5</v>
      </c>
      <c r="V16" s="70"/>
      <c r="W16" s="70"/>
      <c r="X16" s="70"/>
      <c r="Y16" s="70">
        <v>5</v>
      </c>
      <c r="Z16" s="70"/>
      <c r="AA16" s="138">
        <v>4</v>
      </c>
      <c r="AB16" s="76">
        <f t="shared" si="3"/>
        <v>4.8</v>
      </c>
      <c r="AC16" s="77">
        <f t="shared" si="4"/>
        <v>0</v>
      </c>
      <c r="AD16" s="77">
        <f t="shared" si="5"/>
        <v>0</v>
      </c>
    </row>
    <row r="17" spans="1:30" ht="16.5" customHeight="1">
      <c r="A17" s="144" t="s">
        <v>71</v>
      </c>
      <c r="B17" s="1060" t="s">
        <v>72</v>
      </c>
      <c r="C17" s="70"/>
      <c r="D17" s="70"/>
      <c r="E17" s="70"/>
      <c r="F17" s="70"/>
      <c r="G17" s="70">
        <v>5</v>
      </c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>
        <v>5</v>
      </c>
      <c r="U17" s="70">
        <v>4</v>
      </c>
      <c r="V17" s="70"/>
      <c r="W17" s="70"/>
      <c r="X17" s="70"/>
      <c r="Y17" s="70">
        <v>4</v>
      </c>
      <c r="Z17" s="70"/>
      <c r="AA17" s="138">
        <v>4</v>
      </c>
      <c r="AB17" s="76">
        <f t="shared" si="3"/>
        <v>4.5</v>
      </c>
      <c r="AC17" s="77">
        <f t="shared" si="4"/>
        <v>0</v>
      </c>
      <c r="AD17" s="77">
        <f t="shared" si="5"/>
        <v>0</v>
      </c>
    </row>
    <row r="18" spans="1:30" ht="16.5" customHeight="1">
      <c r="A18" s="144" t="s">
        <v>73</v>
      </c>
      <c r="B18" s="1060" t="s">
        <v>74</v>
      </c>
      <c r="C18" s="70"/>
      <c r="D18" s="70"/>
      <c r="E18" s="70"/>
      <c r="F18" s="70"/>
      <c r="G18" s="70">
        <v>4</v>
      </c>
      <c r="H18" s="70"/>
      <c r="I18" s="70"/>
      <c r="J18" s="70"/>
      <c r="K18" s="70">
        <v>4</v>
      </c>
      <c r="L18" s="70">
        <v>5</v>
      </c>
      <c r="M18" s="70">
        <v>3</v>
      </c>
      <c r="N18" s="70"/>
      <c r="O18" s="70">
        <v>5</v>
      </c>
      <c r="P18" s="70">
        <v>4</v>
      </c>
      <c r="Q18" s="70"/>
      <c r="R18" s="70">
        <v>5</v>
      </c>
      <c r="S18" s="70"/>
      <c r="T18" s="70">
        <v>4</v>
      </c>
      <c r="U18" s="70">
        <v>5</v>
      </c>
      <c r="V18" s="70"/>
      <c r="W18" s="70"/>
      <c r="X18" s="70"/>
      <c r="Y18" s="70">
        <v>5</v>
      </c>
      <c r="Z18" s="70"/>
      <c r="AA18" s="138">
        <v>4</v>
      </c>
      <c r="AB18" s="76">
        <f t="shared" si="3"/>
        <v>4.4000000000000004</v>
      </c>
      <c r="AC18" s="77">
        <f t="shared" si="4"/>
        <v>0</v>
      </c>
      <c r="AD18" s="77">
        <f t="shared" si="5"/>
        <v>0</v>
      </c>
    </row>
    <row r="19" spans="1:30" ht="16.5" customHeight="1">
      <c r="A19" s="146" t="s">
        <v>75</v>
      </c>
      <c r="B19" s="1061" t="s">
        <v>76</v>
      </c>
      <c r="C19" s="103"/>
      <c r="D19" s="103"/>
      <c r="E19" s="103"/>
      <c r="F19" s="103"/>
      <c r="G19" s="103">
        <v>4</v>
      </c>
      <c r="H19" s="103"/>
      <c r="I19" s="103"/>
      <c r="J19" s="103"/>
      <c r="K19" s="103">
        <v>4</v>
      </c>
      <c r="L19" s="103">
        <v>5</v>
      </c>
      <c r="M19" s="103">
        <v>5</v>
      </c>
      <c r="N19" s="103"/>
      <c r="O19" s="103">
        <v>5</v>
      </c>
      <c r="P19" s="103">
        <v>5</v>
      </c>
      <c r="Q19" s="103"/>
      <c r="R19" s="103">
        <v>5</v>
      </c>
      <c r="S19" s="103"/>
      <c r="T19" s="103">
        <v>5</v>
      </c>
      <c r="U19" s="103">
        <v>5</v>
      </c>
      <c r="V19" s="103"/>
      <c r="W19" s="103"/>
      <c r="X19" s="103"/>
      <c r="Y19" s="103">
        <v>5</v>
      </c>
      <c r="Z19" s="103"/>
      <c r="AA19" s="152">
        <v>4</v>
      </c>
      <c r="AB19" s="76">
        <f t="shared" si="3"/>
        <v>4.8</v>
      </c>
      <c r="AC19" s="77">
        <f t="shared" si="4"/>
        <v>0</v>
      </c>
      <c r="AD19" s="77">
        <f t="shared" si="5"/>
        <v>0</v>
      </c>
    </row>
    <row r="20" spans="1:30" ht="16.5" customHeight="1">
      <c r="A20" s="149" t="s">
        <v>77</v>
      </c>
      <c r="B20" s="1058" t="s">
        <v>78</v>
      </c>
      <c r="C20" s="96"/>
      <c r="D20" s="96"/>
      <c r="E20" s="1065"/>
      <c r="F20" s="96"/>
      <c r="G20" s="96">
        <v>3</v>
      </c>
      <c r="H20" s="96"/>
      <c r="I20" s="96"/>
      <c r="J20" s="96"/>
      <c r="K20" s="96">
        <v>4</v>
      </c>
      <c r="L20" s="96">
        <v>5</v>
      </c>
      <c r="M20" s="96">
        <v>5</v>
      </c>
      <c r="N20" s="96"/>
      <c r="O20" s="96">
        <v>5</v>
      </c>
      <c r="P20" s="96">
        <v>5</v>
      </c>
      <c r="Q20" s="96"/>
      <c r="R20" s="96">
        <v>5</v>
      </c>
      <c r="S20" s="96"/>
      <c r="T20" s="96">
        <v>5</v>
      </c>
      <c r="U20" s="96">
        <v>3</v>
      </c>
      <c r="V20" s="96"/>
      <c r="W20" s="96"/>
      <c r="X20" s="96"/>
      <c r="Y20" s="96">
        <v>4</v>
      </c>
      <c r="Z20" s="96"/>
      <c r="AA20" s="141">
        <v>5</v>
      </c>
      <c r="AB20" s="76">
        <f t="shared" si="3"/>
        <v>4.4000000000000004</v>
      </c>
      <c r="AC20" s="77">
        <f t="shared" si="4"/>
        <v>0</v>
      </c>
      <c r="AD20" s="77">
        <f t="shared" si="5"/>
        <v>0</v>
      </c>
    </row>
    <row r="21" spans="1:30" ht="16.5" customHeight="1">
      <c r="A21" s="144" t="s">
        <v>79</v>
      </c>
      <c r="B21" s="1060" t="s">
        <v>80</v>
      </c>
      <c r="C21" s="70"/>
      <c r="D21" s="70"/>
      <c r="E21" s="70"/>
      <c r="F21" s="70"/>
      <c r="G21" s="70">
        <v>5</v>
      </c>
      <c r="H21" s="70"/>
      <c r="I21" s="70"/>
      <c r="J21" s="70"/>
      <c r="K21" s="70">
        <v>4</v>
      </c>
      <c r="L21" s="70">
        <v>5</v>
      </c>
      <c r="M21" s="70">
        <v>5</v>
      </c>
      <c r="N21" s="70"/>
      <c r="O21" s="70">
        <v>4</v>
      </c>
      <c r="P21" s="70">
        <v>5</v>
      </c>
      <c r="Q21" s="70">
        <v>2</v>
      </c>
      <c r="R21" s="70">
        <v>5</v>
      </c>
      <c r="S21" s="70"/>
      <c r="T21" s="70">
        <v>4</v>
      </c>
      <c r="U21" s="70">
        <v>4</v>
      </c>
      <c r="V21" s="70"/>
      <c r="W21" s="70"/>
      <c r="X21" s="70"/>
      <c r="Y21" s="70">
        <v>5</v>
      </c>
      <c r="Z21" s="70"/>
      <c r="AA21" s="138">
        <v>4</v>
      </c>
      <c r="AB21" s="76">
        <f t="shared" si="3"/>
        <v>4.3636363636363633</v>
      </c>
      <c r="AC21" s="77">
        <f t="shared" si="4"/>
        <v>0</v>
      </c>
      <c r="AD21" s="77">
        <f t="shared" si="5"/>
        <v>0</v>
      </c>
    </row>
    <row r="22" spans="1:30" ht="16.5" customHeight="1">
      <c r="A22" s="144" t="s">
        <v>81</v>
      </c>
      <c r="B22" s="1060" t="s">
        <v>82</v>
      </c>
      <c r="C22" s="70"/>
      <c r="D22" s="70"/>
      <c r="E22" s="70"/>
      <c r="F22" s="70"/>
      <c r="G22" s="70">
        <v>4</v>
      </c>
      <c r="H22" s="70"/>
      <c r="I22" s="70"/>
      <c r="J22" s="70"/>
      <c r="K22" s="70">
        <v>4</v>
      </c>
      <c r="L22" s="70">
        <v>5</v>
      </c>
      <c r="M22" s="70">
        <v>5</v>
      </c>
      <c r="N22" s="70"/>
      <c r="O22" s="70">
        <v>5</v>
      </c>
      <c r="P22" s="70">
        <v>3</v>
      </c>
      <c r="Q22" s="70"/>
      <c r="R22" s="70">
        <v>5</v>
      </c>
      <c r="S22" s="70"/>
      <c r="T22" s="70">
        <v>5</v>
      </c>
      <c r="U22" s="70">
        <v>5</v>
      </c>
      <c r="V22" s="70"/>
      <c r="W22" s="70"/>
      <c r="X22" s="70"/>
      <c r="Y22" s="70">
        <v>5</v>
      </c>
      <c r="Z22" s="70"/>
      <c r="AA22" s="138">
        <v>4</v>
      </c>
      <c r="AB22" s="76">
        <f t="shared" si="3"/>
        <v>4.5999999999999996</v>
      </c>
      <c r="AC22" s="77">
        <f t="shared" si="4"/>
        <v>0</v>
      </c>
      <c r="AD22" s="77">
        <f t="shared" si="5"/>
        <v>0</v>
      </c>
    </row>
    <row r="23" spans="1:30" ht="16.5" customHeight="1">
      <c r="A23" s="144" t="s">
        <v>83</v>
      </c>
      <c r="B23" s="1060" t="s">
        <v>84</v>
      </c>
      <c r="C23" s="70"/>
      <c r="D23" s="70"/>
      <c r="E23" s="70"/>
      <c r="F23" s="70"/>
      <c r="G23" s="70">
        <v>5</v>
      </c>
      <c r="H23" s="70"/>
      <c r="I23" s="466"/>
      <c r="J23" s="70"/>
      <c r="K23" s="70">
        <v>4</v>
      </c>
      <c r="L23" s="70">
        <v>5</v>
      </c>
      <c r="M23" s="70">
        <v>5</v>
      </c>
      <c r="N23" s="70"/>
      <c r="O23" s="70"/>
      <c r="P23" s="70"/>
      <c r="Q23" s="70"/>
      <c r="R23" s="70"/>
      <c r="S23" s="70"/>
      <c r="T23" s="70">
        <v>5</v>
      </c>
      <c r="U23" s="70"/>
      <c r="V23" s="70"/>
      <c r="W23" s="70"/>
      <c r="X23" s="70"/>
      <c r="Y23" s="70"/>
      <c r="Z23" s="70"/>
      <c r="AA23" s="138">
        <v>4</v>
      </c>
      <c r="AB23" s="76">
        <f t="shared" si="3"/>
        <v>4.8</v>
      </c>
      <c r="AC23" s="77">
        <f t="shared" si="4"/>
        <v>0</v>
      </c>
      <c r="AD23" s="77">
        <f t="shared" si="5"/>
        <v>0</v>
      </c>
    </row>
    <row r="24" spans="1:30" ht="16.5" customHeight="1">
      <c r="A24" s="154" t="s">
        <v>27</v>
      </c>
      <c r="B24" s="1061" t="s">
        <v>85</v>
      </c>
      <c r="C24" s="103"/>
      <c r="D24" s="103"/>
      <c r="E24" s="103"/>
      <c r="F24" s="103"/>
      <c r="G24" s="103">
        <v>4</v>
      </c>
      <c r="H24" s="103"/>
      <c r="I24" s="103"/>
      <c r="J24" s="103"/>
      <c r="K24" s="103">
        <v>5</v>
      </c>
      <c r="L24" s="103">
        <v>5</v>
      </c>
      <c r="M24" s="103">
        <v>5</v>
      </c>
      <c r="N24" s="103"/>
      <c r="O24" s="103">
        <v>5</v>
      </c>
      <c r="P24" s="103">
        <v>5</v>
      </c>
      <c r="Q24" s="103"/>
      <c r="R24" s="103">
        <v>5</v>
      </c>
      <c r="S24" s="103"/>
      <c r="T24" s="103">
        <v>5</v>
      </c>
      <c r="U24" s="103">
        <v>4</v>
      </c>
      <c r="V24" s="103"/>
      <c r="W24" s="103"/>
      <c r="X24" s="103"/>
      <c r="Y24" s="103"/>
      <c r="Z24" s="103"/>
      <c r="AA24" s="152">
        <v>4</v>
      </c>
      <c r="AB24" s="76">
        <f t="shared" si="3"/>
        <v>4.7777777777777777</v>
      </c>
      <c r="AC24" s="77">
        <f t="shared" si="4"/>
        <v>0</v>
      </c>
      <c r="AD24" s="77">
        <f t="shared" si="5"/>
        <v>0</v>
      </c>
    </row>
    <row r="25" spans="1:30" ht="16.5" customHeight="1">
      <c r="A25" s="156" t="s">
        <v>86</v>
      </c>
      <c r="B25" s="1066" t="s">
        <v>87</v>
      </c>
      <c r="C25" s="96"/>
      <c r="D25" s="96"/>
      <c r="E25" s="96"/>
      <c r="F25" s="96"/>
      <c r="G25" s="96">
        <v>5</v>
      </c>
      <c r="H25" s="96"/>
      <c r="I25" s="96"/>
      <c r="J25" s="96"/>
      <c r="K25" s="96"/>
      <c r="L25" s="96"/>
      <c r="M25" s="96"/>
      <c r="N25" s="96"/>
      <c r="O25" s="96"/>
      <c r="P25" s="96">
        <v>3</v>
      </c>
      <c r="Q25" s="96"/>
      <c r="R25" s="96"/>
      <c r="S25" s="96"/>
      <c r="T25" s="96">
        <v>4</v>
      </c>
      <c r="U25" s="96"/>
      <c r="V25" s="96"/>
      <c r="W25" s="1067"/>
      <c r="X25" s="96"/>
      <c r="Y25" s="96">
        <v>3</v>
      </c>
      <c r="Z25" s="96"/>
      <c r="AA25" s="141">
        <v>3</v>
      </c>
      <c r="AB25" s="76">
        <f t="shared" si="3"/>
        <v>3.75</v>
      </c>
      <c r="AC25" s="77">
        <f t="shared" si="4"/>
        <v>0</v>
      </c>
      <c r="AD25" s="77">
        <f t="shared" si="5"/>
        <v>0</v>
      </c>
    </row>
    <row r="26" spans="1:30" ht="16.5" hidden="1" customHeight="1">
      <c r="A26" s="139" t="s">
        <v>86</v>
      </c>
      <c r="B26" s="1060" t="s">
        <v>88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138"/>
      <c r="AB26" s="76" t="str">
        <f t="shared" si="3"/>
        <v>Нет оценок</v>
      </c>
      <c r="AC26" s="77">
        <f t="shared" si="4"/>
        <v>0</v>
      </c>
      <c r="AD26" s="77">
        <f t="shared" si="5"/>
        <v>0</v>
      </c>
    </row>
    <row r="27" spans="1:30" ht="16.5" customHeight="1">
      <c r="A27" s="139" t="s">
        <v>89</v>
      </c>
      <c r="B27" s="1060" t="s">
        <v>90</v>
      </c>
      <c r="C27" s="70"/>
      <c r="D27" s="70"/>
      <c r="E27" s="70"/>
      <c r="F27" s="70"/>
      <c r="G27" s="70">
        <v>3</v>
      </c>
      <c r="H27" s="70"/>
      <c r="I27" s="70"/>
      <c r="J27" s="70"/>
      <c r="K27" s="70">
        <v>2</v>
      </c>
      <c r="L27" s="70"/>
      <c r="M27" s="70"/>
      <c r="N27" s="70"/>
      <c r="O27" s="70">
        <v>5</v>
      </c>
      <c r="P27" s="70">
        <v>4</v>
      </c>
      <c r="Q27" s="70">
        <v>2</v>
      </c>
      <c r="R27" s="70">
        <v>4</v>
      </c>
      <c r="S27" s="70"/>
      <c r="T27" s="70">
        <v>5</v>
      </c>
      <c r="U27" s="70">
        <v>3</v>
      </c>
      <c r="V27" s="70"/>
      <c r="W27" s="70"/>
      <c r="X27" s="70"/>
      <c r="Y27" s="70">
        <v>4</v>
      </c>
      <c r="Z27" s="70"/>
      <c r="AA27" s="138">
        <v>4</v>
      </c>
      <c r="AB27" s="76">
        <f t="shared" si="3"/>
        <v>3.5555555555555554</v>
      </c>
      <c r="AC27" s="77">
        <f t="shared" si="4"/>
        <v>0</v>
      </c>
      <c r="AD27" s="77">
        <f t="shared" si="5"/>
        <v>0</v>
      </c>
    </row>
    <row r="28" spans="1:30" ht="18" customHeight="1">
      <c r="A28" s="139" t="s">
        <v>91</v>
      </c>
      <c r="B28" s="458" t="s">
        <v>92</v>
      </c>
      <c r="C28" s="70"/>
      <c r="D28" s="70"/>
      <c r="E28" s="70"/>
      <c r="F28" s="70"/>
      <c r="G28" s="70">
        <v>4</v>
      </c>
      <c r="H28" s="70"/>
      <c r="I28" s="70"/>
      <c r="J28" s="70"/>
      <c r="K28" s="466"/>
      <c r="L28" s="1068"/>
      <c r="M28" s="70">
        <v>4</v>
      </c>
      <c r="N28" s="70"/>
      <c r="O28" s="70">
        <v>5</v>
      </c>
      <c r="P28" s="70">
        <v>3</v>
      </c>
      <c r="Q28" s="70"/>
      <c r="R28" s="70">
        <v>5</v>
      </c>
      <c r="S28" s="70"/>
      <c r="T28" s="70">
        <v>4</v>
      </c>
      <c r="U28" s="70"/>
      <c r="V28" s="70"/>
      <c r="W28" s="70"/>
      <c r="X28" s="70"/>
      <c r="Y28" s="70">
        <v>4</v>
      </c>
      <c r="Z28" s="70"/>
      <c r="AA28" s="138">
        <v>5</v>
      </c>
      <c r="AB28" s="76">
        <f t="shared" si="3"/>
        <v>4.1428571428571432</v>
      </c>
      <c r="AC28" s="77">
        <f t="shared" si="4"/>
        <v>0</v>
      </c>
      <c r="AD28" s="77">
        <f t="shared" si="5"/>
        <v>0</v>
      </c>
    </row>
    <row r="29" spans="1:30" ht="15.75">
      <c r="A29" s="165" t="s">
        <v>93</v>
      </c>
      <c r="B29" s="165" t="s">
        <v>94</v>
      </c>
      <c r="AB29" s="127">
        <f>IFERROR(AVERAGE(AB6:AB28),"")</f>
        <v>4.3227518693427776</v>
      </c>
      <c r="AC29" s="128">
        <f>SUM(AC6:AC28)</f>
        <v>0</v>
      </c>
      <c r="AD29" s="128">
        <f>SUM(AD6:AD28)</f>
        <v>0</v>
      </c>
    </row>
    <row r="30" spans="1:30" ht="60">
      <c r="A30" s="372">
        <v>45904</v>
      </c>
      <c r="B30" s="1069" t="s">
        <v>558</v>
      </c>
    </row>
    <row r="31" spans="1:30" ht="60">
      <c r="A31" s="372">
        <v>45905</v>
      </c>
      <c r="B31" s="1069" t="s">
        <v>559</v>
      </c>
    </row>
    <row r="32" spans="1:30" ht="45">
      <c r="A32" s="1070">
        <v>45906</v>
      </c>
      <c r="B32" s="1069" t="s">
        <v>560</v>
      </c>
    </row>
    <row r="33" spans="1:2" ht="30">
      <c r="A33" s="1070">
        <v>45906</v>
      </c>
      <c r="B33" s="1071" t="s">
        <v>561</v>
      </c>
    </row>
    <row r="34" spans="1:2" ht="28.5">
      <c r="A34" s="1070">
        <v>45915</v>
      </c>
      <c r="B34" s="1072" t="s">
        <v>562</v>
      </c>
    </row>
    <row r="35" spans="1:2">
      <c r="A35" s="1070">
        <v>45919</v>
      </c>
      <c r="B35" s="166" t="s">
        <v>563</v>
      </c>
    </row>
    <row r="36" spans="1:2">
      <c r="A36" s="1070">
        <v>45922</v>
      </c>
      <c r="B36" s="166" t="s">
        <v>564</v>
      </c>
    </row>
    <row r="37" spans="1:2" ht="30">
      <c r="A37" s="1073">
        <v>45936</v>
      </c>
      <c r="B37" s="1069" t="s">
        <v>565</v>
      </c>
    </row>
    <row r="38" spans="1:2" ht="30">
      <c r="A38" s="1073">
        <v>45940</v>
      </c>
      <c r="B38" s="1069" t="s">
        <v>566</v>
      </c>
    </row>
    <row r="39" spans="1:2" ht="30">
      <c r="A39" s="1073">
        <v>45944</v>
      </c>
      <c r="B39" s="168" t="s">
        <v>567</v>
      </c>
    </row>
    <row r="40" spans="1:2" ht="45">
      <c r="A40" s="1073">
        <v>45953</v>
      </c>
      <c r="B40" s="168" t="s">
        <v>568</v>
      </c>
    </row>
    <row r="41" spans="1:2" ht="30">
      <c r="A41" s="1070">
        <v>45962</v>
      </c>
      <c r="B41" s="168" t="s">
        <v>569</v>
      </c>
    </row>
    <row r="42" spans="1:2" ht="45">
      <c r="A42" s="1070">
        <v>45973</v>
      </c>
      <c r="B42" s="168" t="s">
        <v>570</v>
      </c>
    </row>
    <row r="43" spans="1:2">
      <c r="A43" s="1070">
        <v>45974</v>
      </c>
      <c r="B43" s="166" t="s">
        <v>571</v>
      </c>
    </row>
    <row r="44" spans="1:2">
      <c r="A44" s="1070">
        <v>45987</v>
      </c>
      <c r="B44" s="166" t="s">
        <v>572</v>
      </c>
    </row>
    <row r="45" spans="1:2">
      <c r="A45" s="1070">
        <v>45988</v>
      </c>
      <c r="B45" s="166" t="s">
        <v>573</v>
      </c>
    </row>
    <row r="46" spans="1:2">
      <c r="A46" s="1070">
        <v>45990</v>
      </c>
      <c r="B46" s="166" t="s">
        <v>574</v>
      </c>
    </row>
    <row r="47" spans="1:2">
      <c r="A47" s="1070">
        <v>45990</v>
      </c>
      <c r="B47" s="166" t="s">
        <v>575</v>
      </c>
    </row>
    <row r="48" spans="1:2">
      <c r="A48" s="1070">
        <v>45992</v>
      </c>
      <c r="B48" s="166" t="s">
        <v>576</v>
      </c>
    </row>
    <row r="49" spans="1:2">
      <c r="A49" s="1070">
        <v>45994</v>
      </c>
      <c r="B49" s="166" t="s">
        <v>573</v>
      </c>
    </row>
    <row r="50" spans="1:2">
      <c r="A50" s="1070">
        <v>45999</v>
      </c>
      <c r="B50" s="166" t="s">
        <v>577</v>
      </c>
    </row>
    <row r="51" spans="1:2">
      <c r="A51" s="1070">
        <v>46000</v>
      </c>
      <c r="B51" s="166" t="s">
        <v>578</v>
      </c>
    </row>
    <row r="52" spans="1:2">
      <c r="A52" s="1070">
        <v>46001</v>
      </c>
      <c r="B52" s="166" t="s">
        <v>579</v>
      </c>
    </row>
    <row r="53" spans="1:2">
      <c r="A53" s="1070">
        <v>46002</v>
      </c>
      <c r="B53" s="166" t="s">
        <v>580</v>
      </c>
    </row>
    <row r="54" spans="1:2">
      <c r="A54" s="1074">
        <v>46013</v>
      </c>
      <c r="B54" s="505" t="s">
        <v>581</v>
      </c>
    </row>
    <row r="55" spans="1:2">
      <c r="A55" s="166"/>
      <c r="B55" s="166"/>
    </row>
    <row r="56" spans="1:2">
      <c r="A56" s="166"/>
      <c r="B56" s="166"/>
    </row>
    <row r="57" spans="1:2">
      <c r="A57" s="166"/>
      <c r="B57" s="166"/>
    </row>
    <row r="58" spans="1:2">
      <c r="A58" s="166"/>
      <c r="B58" s="166"/>
    </row>
    <row r="59" spans="1:2">
      <c r="A59" s="166"/>
      <c r="B59" s="166"/>
    </row>
    <row r="60" spans="1:2">
      <c r="A60" s="166"/>
      <c r="B60" s="166"/>
    </row>
    <row r="61" spans="1:2">
      <c r="A61" s="166"/>
      <c r="B61" s="166"/>
    </row>
    <row r="62" spans="1:2">
      <c r="A62" s="166"/>
      <c r="B62" s="166"/>
    </row>
    <row r="63" spans="1:2">
      <c r="A63" s="166"/>
      <c r="B63" s="166"/>
    </row>
    <row r="64" spans="1:2">
      <c r="A64" s="166"/>
      <c r="B64" s="166"/>
    </row>
    <row r="65" spans="1:2">
      <c r="A65" s="166"/>
      <c r="B65" s="166"/>
    </row>
    <row r="66" spans="1:2">
      <c r="A66" s="166"/>
      <c r="B66" s="166"/>
    </row>
    <row r="67" spans="1:2">
      <c r="A67" s="166"/>
      <c r="B67" s="166"/>
    </row>
  </sheetData>
  <mergeCells count="6">
    <mergeCell ref="AC3:AD3"/>
    <mergeCell ref="A1:B1"/>
    <mergeCell ref="C1:Z1"/>
    <mergeCell ref="A2:B2"/>
    <mergeCell ref="C2:Z2"/>
    <mergeCell ref="A3:A4"/>
  </mergeCells>
  <conditionalFormatting sqref="AB5:AB29">
    <cfRule type="cellIs" dxfId="25" priority="2" operator="lessThan">
      <formula>3</formula>
    </cfRule>
  </conditionalFormatting>
  <conditionalFormatting sqref="AD5:AD28">
    <cfRule type="cellIs" dxfId="24" priority="1" operator="greaterThan">
      <formula>0</formula>
    </cfRule>
  </conditionalFormatting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4"/>
  <sheetViews>
    <sheetView workbookViewId="0">
      <pane xSplit="2" ySplit="2" topLeftCell="C3" activePane="bottomRight" state="frozen"/>
      <selection activeCell="Z21" sqref="Z21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customWidth="1"/>
    <col min="2" max="2" width="34.77734375" customWidth="1"/>
    <col min="3" max="24" width="3.109375" customWidth="1"/>
    <col min="25" max="25" width="3" customWidth="1"/>
    <col min="26" max="26" width="6.6640625" customWidth="1"/>
    <col min="27" max="27" width="10.6640625" customWidth="1"/>
    <col min="28" max="29" width="8.109375" customWidth="1"/>
  </cols>
  <sheetData>
    <row r="1" spans="1:29" ht="28.5" customHeight="1">
      <c r="A1" s="1277" t="s">
        <v>38</v>
      </c>
      <c r="B1" s="1277"/>
      <c r="C1" s="1276" t="s">
        <v>26</v>
      </c>
      <c r="D1" s="1276"/>
      <c r="E1" s="1276"/>
      <c r="F1" s="1276"/>
      <c r="G1" s="1276"/>
      <c r="H1" s="1276"/>
      <c r="I1" s="1276"/>
      <c r="J1" s="1276"/>
      <c r="K1" s="1276"/>
      <c r="L1" s="1276"/>
      <c r="M1" s="1276"/>
      <c r="N1" s="1276"/>
      <c r="O1" s="1276"/>
      <c r="P1" s="1276"/>
      <c r="Q1" s="1276"/>
      <c r="R1" s="1276"/>
      <c r="S1" s="1276"/>
      <c r="T1" s="1276"/>
      <c r="U1" s="1276"/>
      <c r="V1" s="1276"/>
      <c r="W1" s="1276"/>
      <c r="X1" s="1276"/>
      <c r="Y1" s="1276"/>
      <c r="Z1" s="1276"/>
    </row>
    <row r="2" spans="1:29" ht="28.5" customHeight="1">
      <c r="A2" s="1277" t="s">
        <v>39</v>
      </c>
      <c r="B2" s="1277"/>
      <c r="C2" s="1277" t="s">
        <v>199</v>
      </c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32"/>
      <c r="AB2" s="32"/>
      <c r="AC2" s="32"/>
    </row>
    <row r="3" spans="1:29" ht="15.75">
      <c r="A3" s="1281" t="s">
        <v>41</v>
      </c>
      <c r="B3" s="129" t="s">
        <v>42</v>
      </c>
      <c r="C3" s="130" t="s">
        <v>201</v>
      </c>
      <c r="D3" s="42" t="s">
        <v>202</v>
      </c>
      <c r="E3" s="42" t="s">
        <v>202</v>
      </c>
      <c r="F3" s="42" t="s">
        <v>202</v>
      </c>
      <c r="G3" s="42" t="s">
        <v>202</v>
      </c>
      <c r="H3" s="42" t="s">
        <v>202</v>
      </c>
      <c r="I3" s="42" t="s">
        <v>202</v>
      </c>
      <c r="J3" s="42" t="s">
        <v>202</v>
      </c>
      <c r="K3" s="42" t="s">
        <v>203</v>
      </c>
      <c r="L3" s="42" t="s">
        <v>203</v>
      </c>
      <c r="M3" s="42" t="s">
        <v>203</v>
      </c>
      <c r="N3" s="42" t="s">
        <v>203</v>
      </c>
      <c r="O3" s="42" t="s">
        <v>203</v>
      </c>
      <c r="P3" s="42" t="s">
        <v>203</v>
      </c>
      <c r="Q3" s="42" t="s">
        <v>203</v>
      </c>
      <c r="R3" s="42" t="s">
        <v>203</v>
      </c>
      <c r="S3" s="42" t="s">
        <v>204</v>
      </c>
      <c r="T3" s="42"/>
      <c r="U3" s="42"/>
      <c r="V3" s="42"/>
      <c r="W3" s="42"/>
      <c r="X3" s="42"/>
      <c r="Y3" s="42"/>
      <c r="Z3" s="316" t="s">
        <v>582</v>
      </c>
      <c r="AA3" s="45"/>
      <c r="AB3" s="1278" t="s">
        <v>0</v>
      </c>
      <c r="AC3" s="1279"/>
    </row>
    <row r="4" spans="1:29" ht="15.75">
      <c r="A4" s="1282"/>
      <c r="B4" s="132" t="s">
        <v>43</v>
      </c>
      <c r="C4" s="133">
        <v>27</v>
      </c>
      <c r="D4" s="57">
        <v>7</v>
      </c>
      <c r="E4" s="57">
        <v>9</v>
      </c>
      <c r="F4" s="57">
        <v>11</v>
      </c>
      <c r="G4" s="57">
        <v>11</v>
      </c>
      <c r="H4" s="57">
        <v>13</v>
      </c>
      <c r="I4" s="57">
        <v>20</v>
      </c>
      <c r="J4" s="57">
        <v>23</v>
      </c>
      <c r="K4" s="57">
        <v>3</v>
      </c>
      <c r="L4" s="57">
        <v>7</v>
      </c>
      <c r="M4" s="57">
        <v>8</v>
      </c>
      <c r="N4" s="57">
        <v>8</v>
      </c>
      <c r="O4" s="57">
        <v>13</v>
      </c>
      <c r="P4" s="57">
        <v>13</v>
      </c>
      <c r="Q4" s="57">
        <v>20</v>
      </c>
      <c r="R4" s="57">
        <v>27</v>
      </c>
      <c r="S4" s="57">
        <v>20</v>
      </c>
      <c r="T4" s="57"/>
      <c r="U4" s="57"/>
      <c r="V4" s="57"/>
      <c r="W4" s="57"/>
      <c r="X4" s="57"/>
      <c r="Y4" s="57"/>
      <c r="Z4" s="318"/>
      <c r="AA4" s="45" t="s">
        <v>33</v>
      </c>
      <c r="AB4" s="60" t="s">
        <v>5</v>
      </c>
      <c r="AC4" s="60" t="s">
        <v>6</v>
      </c>
    </row>
    <row r="5" spans="1:29" ht="16.5" customHeight="1">
      <c r="A5" s="136" t="s">
        <v>44</v>
      </c>
      <c r="B5" s="1058" t="s">
        <v>45</v>
      </c>
      <c r="C5" s="96" t="s">
        <v>34</v>
      </c>
      <c r="D5" s="96">
        <v>5</v>
      </c>
      <c r="E5" s="96">
        <v>2</v>
      </c>
      <c r="F5" s="96"/>
      <c r="G5" s="96"/>
      <c r="H5" s="96">
        <v>3</v>
      </c>
      <c r="I5" s="96" t="s">
        <v>583</v>
      </c>
      <c r="J5" s="96">
        <v>5</v>
      </c>
      <c r="K5" s="96">
        <v>3</v>
      </c>
      <c r="L5" s="96"/>
      <c r="M5" s="96">
        <v>4</v>
      </c>
      <c r="N5" s="96">
        <v>4</v>
      </c>
      <c r="O5" s="96">
        <v>4</v>
      </c>
      <c r="P5" s="96"/>
      <c r="Q5" s="96">
        <v>3</v>
      </c>
      <c r="R5" s="96"/>
      <c r="S5" s="96"/>
      <c r="T5" s="96"/>
      <c r="U5" s="96"/>
      <c r="V5" s="96"/>
      <c r="W5" s="96"/>
      <c r="X5" s="96"/>
      <c r="Y5" s="96"/>
      <c r="Z5" s="1075" t="s">
        <v>584</v>
      </c>
      <c r="AA5" s="76">
        <f t="shared" ref="AA5:AA9" si="0">IFERROR(AVERAGE(C5:Z5),"Нет оценок")</f>
        <v>3.6666666666666665</v>
      </c>
      <c r="AB5" s="77">
        <f t="shared" ref="AB5:AB9" si="1">COUNTIF(C5:Z5,"н/у")</f>
        <v>0</v>
      </c>
      <c r="AC5" s="77">
        <f t="shared" ref="AC5:AC9" si="2">COUNTIF(C5:Z5,"н")</f>
        <v>0</v>
      </c>
    </row>
    <row r="6" spans="1:29" ht="16.5" customHeight="1">
      <c r="A6" s="139" t="s">
        <v>49</v>
      </c>
      <c r="B6" s="1076" t="s">
        <v>50</v>
      </c>
      <c r="C6" s="70"/>
      <c r="D6" s="70">
        <v>3</v>
      </c>
      <c r="E6" s="70"/>
      <c r="F6" s="70">
        <v>4</v>
      </c>
      <c r="G6" s="70"/>
      <c r="H6" s="70">
        <v>3</v>
      </c>
      <c r="I6" s="70">
        <v>3</v>
      </c>
      <c r="J6" s="70" t="s">
        <v>585</v>
      </c>
      <c r="K6" s="70"/>
      <c r="L6" s="70"/>
      <c r="M6" s="70" t="s">
        <v>586</v>
      </c>
      <c r="N6" s="70"/>
      <c r="O6" s="70">
        <v>3</v>
      </c>
      <c r="P6" s="70">
        <v>5</v>
      </c>
      <c r="Q6" s="70">
        <v>3</v>
      </c>
      <c r="R6" s="70"/>
      <c r="S6" s="70"/>
      <c r="T6" s="70"/>
      <c r="U6" s="70"/>
      <c r="V6" s="70"/>
      <c r="W6" s="70"/>
      <c r="X6" s="70"/>
      <c r="Y6" s="70"/>
      <c r="Z6" s="1077" t="s">
        <v>584</v>
      </c>
      <c r="AA6" s="76">
        <f t="shared" si="0"/>
        <v>3.4285714285714284</v>
      </c>
      <c r="AB6" s="77">
        <f t="shared" si="1"/>
        <v>0</v>
      </c>
      <c r="AC6" s="77">
        <f t="shared" si="2"/>
        <v>0</v>
      </c>
    </row>
    <row r="7" spans="1:29" ht="16.5" customHeight="1">
      <c r="A7" s="204" t="s">
        <v>51</v>
      </c>
      <c r="B7" s="1060" t="s">
        <v>52</v>
      </c>
      <c r="C7" s="70"/>
      <c r="D7" s="70">
        <v>3</v>
      </c>
      <c r="E7" s="70">
        <v>3</v>
      </c>
      <c r="F7" s="70"/>
      <c r="G7" s="70"/>
      <c r="H7" s="70" t="s">
        <v>583</v>
      </c>
      <c r="I7" s="70">
        <v>5</v>
      </c>
      <c r="J7" s="70">
        <v>5</v>
      </c>
      <c r="K7" s="70"/>
      <c r="L7" s="70"/>
      <c r="M7" s="70">
        <v>5</v>
      </c>
      <c r="N7" s="70"/>
      <c r="O7" s="70">
        <v>4</v>
      </c>
      <c r="P7" s="70">
        <v>4</v>
      </c>
      <c r="Q7" s="70"/>
      <c r="R7" s="70"/>
      <c r="S7" s="70"/>
      <c r="T7" s="70"/>
      <c r="U7" s="70"/>
      <c r="V7" s="70"/>
      <c r="W7" s="70"/>
      <c r="X7" s="70"/>
      <c r="Y7" s="70"/>
      <c r="Z7" s="1077" t="s">
        <v>587</v>
      </c>
      <c r="AA7" s="76">
        <f t="shared" si="0"/>
        <v>4.1428571428571432</v>
      </c>
      <c r="AB7" s="77">
        <f t="shared" si="1"/>
        <v>0</v>
      </c>
      <c r="AC7" s="77">
        <f t="shared" si="2"/>
        <v>0</v>
      </c>
    </row>
    <row r="8" spans="1:29" ht="16.5" customHeight="1">
      <c r="A8" s="144" t="s">
        <v>53</v>
      </c>
      <c r="B8" s="1060" t="s">
        <v>54</v>
      </c>
      <c r="C8" s="70"/>
      <c r="D8" s="70">
        <v>3</v>
      </c>
      <c r="E8" s="70">
        <v>2</v>
      </c>
      <c r="F8" s="70">
        <v>5</v>
      </c>
      <c r="G8" s="70">
        <v>5</v>
      </c>
      <c r="H8" s="70">
        <v>3</v>
      </c>
      <c r="I8" s="70">
        <v>4</v>
      </c>
      <c r="J8" s="70">
        <v>3</v>
      </c>
      <c r="K8" s="70"/>
      <c r="L8" s="70">
        <v>3</v>
      </c>
      <c r="M8" s="70" t="s">
        <v>586</v>
      </c>
      <c r="N8" s="70">
        <v>3</v>
      </c>
      <c r="O8" s="70">
        <v>3</v>
      </c>
      <c r="P8" s="70">
        <v>2</v>
      </c>
      <c r="Q8" s="70"/>
      <c r="R8" s="70"/>
      <c r="S8" s="70"/>
      <c r="T8" s="70"/>
      <c r="U8" s="70"/>
      <c r="V8" s="70"/>
      <c r="W8" s="70"/>
      <c r="X8" s="70"/>
      <c r="Y8" s="70"/>
      <c r="Z8" s="1077" t="s">
        <v>584</v>
      </c>
      <c r="AA8" s="76">
        <f t="shared" si="0"/>
        <v>3.2727272727272729</v>
      </c>
      <c r="AB8" s="77">
        <f t="shared" si="1"/>
        <v>0</v>
      </c>
      <c r="AC8" s="77">
        <f t="shared" si="2"/>
        <v>0</v>
      </c>
    </row>
    <row r="9" spans="1:29" ht="16.5" customHeight="1">
      <c r="A9" s="146" t="s">
        <v>55</v>
      </c>
      <c r="B9" s="1061" t="s">
        <v>56</v>
      </c>
      <c r="C9" s="103"/>
      <c r="D9" s="103" t="s">
        <v>583</v>
      </c>
      <c r="E9" s="103">
        <v>3</v>
      </c>
      <c r="F9" s="103"/>
      <c r="G9" s="103"/>
      <c r="H9" s="103"/>
      <c r="I9" s="103" t="s">
        <v>583</v>
      </c>
      <c r="J9" s="103" t="s">
        <v>585</v>
      </c>
      <c r="K9" s="103"/>
      <c r="L9" s="103"/>
      <c r="M9" s="103">
        <v>5</v>
      </c>
      <c r="N9" s="103">
        <v>5</v>
      </c>
      <c r="O9" s="103">
        <v>5</v>
      </c>
      <c r="P9" s="103">
        <v>5</v>
      </c>
      <c r="Q9" s="103"/>
      <c r="R9" s="103"/>
      <c r="S9" s="103"/>
      <c r="T9" s="103"/>
      <c r="U9" s="103"/>
      <c r="V9" s="103"/>
      <c r="W9" s="103"/>
      <c r="X9" s="103"/>
      <c r="Y9" s="103"/>
      <c r="Z9" s="1078" t="s">
        <v>587</v>
      </c>
      <c r="AA9" s="76">
        <f t="shared" si="0"/>
        <v>4.5999999999999996</v>
      </c>
      <c r="AB9" s="77">
        <f t="shared" si="1"/>
        <v>0</v>
      </c>
      <c r="AC9" s="77">
        <f t="shared" si="2"/>
        <v>0</v>
      </c>
    </row>
    <row r="10" spans="1:29" ht="16.5" customHeight="1">
      <c r="A10" s="149" t="s">
        <v>57</v>
      </c>
      <c r="B10" s="1058" t="s">
        <v>58</v>
      </c>
      <c r="C10" s="96"/>
      <c r="D10" s="96">
        <v>3</v>
      </c>
      <c r="E10" s="96">
        <v>5</v>
      </c>
      <c r="F10" s="96">
        <v>4</v>
      </c>
      <c r="G10" s="96">
        <v>4</v>
      </c>
      <c r="H10" s="96">
        <v>5</v>
      </c>
      <c r="I10" s="96">
        <v>5</v>
      </c>
      <c r="J10" s="96">
        <v>5</v>
      </c>
      <c r="K10" s="96"/>
      <c r="L10" s="96"/>
      <c r="M10" s="96">
        <v>3</v>
      </c>
      <c r="N10" s="96">
        <v>5</v>
      </c>
      <c r="O10" s="96">
        <v>5</v>
      </c>
      <c r="P10" s="96">
        <v>4</v>
      </c>
      <c r="Q10" s="96"/>
      <c r="R10" s="96"/>
      <c r="S10" s="96"/>
      <c r="T10" s="96"/>
      <c r="U10" s="96"/>
      <c r="V10" s="96"/>
      <c r="W10" s="96"/>
      <c r="X10" s="96"/>
      <c r="Y10" s="96"/>
      <c r="Z10" s="1075" t="s">
        <v>587</v>
      </c>
      <c r="AA10" s="76">
        <f t="shared" ref="AA10:AA28" si="3">IFERROR(AVERAGE(C10:Z10),"Нет оценок")</f>
        <v>4.3636363636363633</v>
      </c>
      <c r="AB10" s="77">
        <f t="shared" ref="AB10:AB28" si="4">COUNTIF(C10:Z10,"н/у")</f>
        <v>0</v>
      </c>
      <c r="AC10" s="77">
        <f t="shared" ref="AC10:AC28" si="5">COUNTIF(C10:Z10,"н")</f>
        <v>0</v>
      </c>
    </row>
    <row r="11" spans="1:29" ht="16.5" customHeight="1">
      <c r="A11" s="144" t="s">
        <v>59</v>
      </c>
      <c r="B11" s="1060" t="s">
        <v>60</v>
      </c>
      <c r="C11" s="70">
        <v>3</v>
      </c>
      <c r="D11" s="70">
        <v>3</v>
      </c>
      <c r="E11" s="70">
        <v>3</v>
      </c>
      <c r="F11" s="70">
        <v>3</v>
      </c>
      <c r="G11" s="70">
        <v>3</v>
      </c>
      <c r="H11" s="70">
        <v>3</v>
      </c>
      <c r="I11" s="70">
        <v>3</v>
      </c>
      <c r="J11" s="70">
        <v>3</v>
      </c>
      <c r="K11" s="70"/>
      <c r="L11" s="70"/>
      <c r="M11" s="70">
        <v>3</v>
      </c>
      <c r="N11" s="70"/>
      <c r="O11" s="70">
        <v>3</v>
      </c>
      <c r="P11" s="70">
        <v>3</v>
      </c>
      <c r="Q11" s="467">
        <v>3</v>
      </c>
      <c r="R11" s="70"/>
      <c r="S11" s="70"/>
      <c r="T11" s="70"/>
      <c r="U11" s="70"/>
      <c r="V11" s="70"/>
      <c r="W11" s="70"/>
      <c r="X11" s="70"/>
      <c r="Y11" s="70"/>
      <c r="Z11" s="1077" t="s">
        <v>584</v>
      </c>
      <c r="AA11" s="76">
        <f t="shared" si="3"/>
        <v>3</v>
      </c>
      <c r="AB11" s="77">
        <f t="shared" si="4"/>
        <v>0</v>
      </c>
      <c r="AC11" s="77">
        <f t="shared" si="5"/>
        <v>0</v>
      </c>
    </row>
    <row r="12" spans="1:29" ht="16.5" customHeight="1">
      <c r="A12" s="144" t="s">
        <v>61</v>
      </c>
      <c r="B12" s="1060" t="s">
        <v>62</v>
      </c>
      <c r="C12" s="70"/>
      <c r="D12" s="70">
        <v>3</v>
      </c>
      <c r="E12" s="70">
        <v>3</v>
      </c>
      <c r="F12" s="70">
        <v>5</v>
      </c>
      <c r="G12" s="70">
        <v>4</v>
      </c>
      <c r="H12" s="70">
        <v>5</v>
      </c>
      <c r="I12" s="70">
        <v>4</v>
      </c>
      <c r="J12" s="70">
        <v>3</v>
      </c>
      <c r="K12" s="70">
        <v>3</v>
      </c>
      <c r="L12" s="70"/>
      <c r="M12" s="70">
        <v>3</v>
      </c>
      <c r="N12" s="70">
        <v>3</v>
      </c>
      <c r="O12" s="70">
        <v>4</v>
      </c>
      <c r="P12" s="70">
        <v>3</v>
      </c>
      <c r="Q12" s="70"/>
      <c r="R12" s="70"/>
      <c r="S12" s="70"/>
      <c r="T12" s="70"/>
      <c r="U12" s="70"/>
      <c r="V12" s="70"/>
      <c r="W12" s="70"/>
      <c r="X12" s="70"/>
      <c r="Y12" s="70"/>
      <c r="Z12" s="1077" t="s">
        <v>584</v>
      </c>
      <c r="AA12" s="76">
        <f t="shared" si="3"/>
        <v>3.5833333333333335</v>
      </c>
      <c r="AB12" s="77">
        <f t="shared" si="4"/>
        <v>0</v>
      </c>
      <c r="AC12" s="77">
        <f t="shared" si="5"/>
        <v>0</v>
      </c>
    </row>
    <row r="13" spans="1:29" ht="16.5" customHeight="1">
      <c r="A13" s="144" t="s">
        <v>63</v>
      </c>
      <c r="B13" s="1079" t="s">
        <v>64</v>
      </c>
      <c r="C13" s="70"/>
      <c r="D13" s="70" t="s">
        <v>46</v>
      </c>
      <c r="E13" s="70">
        <v>2</v>
      </c>
      <c r="F13" s="70" t="s">
        <v>46</v>
      </c>
      <c r="G13" s="70" t="s">
        <v>46</v>
      </c>
      <c r="H13" s="70" t="s">
        <v>46</v>
      </c>
      <c r="I13" s="70" t="s">
        <v>380</v>
      </c>
      <c r="J13" s="70">
        <v>2</v>
      </c>
      <c r="K13" s="70"/>
      <c r="L13" s="70" t="s">
        <v>46</v>
      </c>
      <c r="M13" s="70" t="s">
        <v>46</v>
      </c>
      <c r="N13" s="70"/>
      <c r="O13" s="70" t="s">
        <v>46</v>
      </c>
      <c r="P13" s="70" t="s">
        <v>46</v>
      </c>
      <c r="Q13" s="70"/>
      <c r="R13" s="70"/>
      <c r="S13" s="70"/>
      <c r="T13" s="70"/>
      <c r="U13" s="70"/>
      <c r="V13" s="70"/>
      <c r="W13" s="70"/>
      <c r="X13" s="70"/>
      <c r="Y13" s="70"/>
      <c r="Z13" s="1077" t="s">
        <v>211</v>
      </c>
      <c r="AA13" s="76">
        <f t="shared" si="3"/>
        <v>2</v>
      </c>
      <c r="AB13" s="77">
        <f t="shared" si="4"/>
        <v>0</v>
      </c>
      <c r="AC13" s="77">
        <f t="shared" si="5"/>
        <v>8</v>
      </c>
    </row>
    <row r="14" spans="1:29" ht="16.5" customHeight="1">
      <c r="A14" s="146" t="s">
        <v>65</v>
      </c>
      <c r="B14" s="1061" t="s">
        <v>66</v>
      </c>
      <c r="C14" s="103"/>
      <c r="D14" s="103">
        <v>5</v>
      </c>
      <c r="E14" s="103">
        <v>5</v>
      </c>
      <c r="F14" s="103">
        <v>5</v>
      </c>
      <c r="G14" s="103">
        <v>5</v>
      </c>
      <c r="H14" s="103" t="s">
        <v>46</v>
      </c>
      <c r="I14" s="103" t="s">
        <v>46</v>
      </c>
      <c r="J14" s="103" t="s">
        <v>46</v>
      </c>
      <c r="K14" s="103"/>
      <c r="L14" s="103"/>
      <c r="M14" s="103">
        <v>5</v>
      </c>
      <c r="N14" s="103">
        <v>5</v>
      </c>
      <c r="O14" s="103">
        <v>4</v>
      </c>
      <c r="P14" s="103">
        <v>4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78" t="s">
        <v>584</v>
      </c>
      <c r="AA14" s="76">
        <f t="shared" si="3"/>
        <v>4.75</v>
      </c>
      <c r="AB14" s="77">
        <f t="shared" si="4"/>
        <v>0</v>
      </c>
      <c r="AC14" s="77">
        <f t="shared" si="5"/>
        <v>3</v>
      </c>
    </row>
    <row r="15" spans="1:29" ht="16.5" customHeight="1">
      <c r="A15" s="149" t="s">
        <v>67</v>
      </c>
      <c r="B15" s="1058" t="s">
        <v>68</v>
      </c>
      <c r="C15" s="96"/>
      <c r="D15" s="96"/>
      <c r="E15" s="96">
        <v>3</v>
      </c>
      <c r="F15" s="96">
        <v>5</v>
      </c>
      <c r="G15" s="96">
        <v>5</v>
      </c>
      <c r="H15" s="96">
        <v>4</v>
      </c>
      <c r="I15" s="96">
        <v>5</v>
      </c>
      <c r="J15" s="96">
        <v>4</v>
      </c>
      <c r="K15" s="96"/>
      <c r="L15" s="96"/>
      <c r="M15" s="96">
        <v>3</v>
      </c>
      <c r="N15" s="96"/>
      <c r="O15" s="96">
        <v>3</v>
      </c>
      <c r="P15" s="96">
        <v>3</v>
      </c>
      <c r="Q15" s="96"/>
      <c r="R15" s="96"/>
      <c r="S15" s="96"/>
      <c r="T15" s="96"/>
      <c r="U15" s="96"/>
      <c r="V15" s="96"/>
      <c r="W15" s="96"/>
      <c r="X15" s="96"/>
      <c r="Y15" s="96"/>
      <c r="Z15" s="1075" t="s">
        <v>584</v>
      </c>
      <c r="AA15" s="76">
        <f t="shared" si="3"/>
        <v>3.8888888888888888</v>
      </c>
      <c r="AB15" s="77">
        <f t="shared" si="4"/>
        <v>0</v>
      </c>
      <c r="AC15" s="77">
        <f t="shared" si="5"/>
        <v>0</v>
      </c>
    </row>
    <row r="16" spans="1:29" ht="16.5" customHeight="1">
      <c r="A16" s="144" t="s">
        <v>69</v>
      </c>
      <c r="B16" s="1060" t="s">
        <v>70</v>
      </c>
      <c r="C16" s="70"/>
      <c r="D16" s="70">
        <v>3</v>
      </c>
      <c r="E16" s="70">
        <v>3</v>
      </c>
      <c r="F16" s="70">
        <v>4</v>
      </c>
      <c r="G16" s="70">
        <v>4</v>
      </c>
      <c r="H16" s="70">
        <v>3</v>
      </c>
      <c r="I16" s="70">
        <v>5</v>
      </c>
      <c r="J16" s="70" t="s">
        <v>585</v>
      </c>
      <c r="K16" s="70"/>
      <c r="L16" s="70">
        <v>3</v>
      </c>
      <c r="M16" s="70">
        <v>4</v>
      </c>
      <c r="N16" s="70">
        <v>3</v>
      </c>
      <c r="O16" s="70">
        <v>3</v>
      </c>
      <c r="P16" s="70">
        <v>3</v>
      </c>
      <c r="Q16" s="467" t="s">
        <v>48</v>
      </c>
      <c r="R16" s="70">
        <v>3</v>
      </c>
      <c r="S16" s="70"/>
      <c r="T16" s="70"/>
      <c r="U16" s="70"/>
      <c r="V16" s="70"/>
      <c r="W16" s="70"/>
      <c r="X16" s="70"/>
      <c r="Y16" s="70"/>
      <c r="Z16" s="1077" t="s">
        <v>584</v>
      </c>
      <c r="AA16" s="76">
        <f t="shared" si="3"/>
        <v>3.4166666666666665</v>
      </c>
      <c r="AB16" s="77">
        <f t="shared" si="4"/>
        <v>1</v>
      </c>
      <c r="AC16" s="77">
        <f t="shared" si="5"/>
        <v>0</v>
      </c>
    </row>
    <row r="17" spans="1:29" ht="16.5" customHeight="1">
      <c r="A17" s="144" t="s">
        <v>71</v>
      </c>
      <c r="B17" s="1079" t="s">
        <v>72</v>
      </c>
      <c r="C17" s="70" t="s">
        <v>46</v>
      </c>
      <c r="D17" s="70" t="s">
        <v>46</v>
      </c>
      <c r="E17" s="70" t="s">
        <v>46</v>
      </c>
      <c r="F17" s="70">
        <v>3</v>
      </c>
      <c r="G17" s="70">
        <v>3</v>
      </c>
      <c r="H17" s="70" t="s">
        <v>46</v>
      </c>
      <c r="I17" s="70" t="s">
        <v>46</v>
      </c>
      <c r="J17" s="70" t="s">
        <v>583</v>
      </c>
      <c r="K17" s="70" t="s">
        <v>46</v>
      </c>
      <c r="L17" s="70" t="s">
        <v>46</v>
      </c>
      <c r="M17" s="70">
        <v>3</v>
      </c>
      <c r="N17" s="70">
        <v>3</v>
      </c>
      <c r="O17" s="70" t="s">
        <v>46</v>
      </c>
      <c r="P17" s="70" t="s">
        <v>46</v>
      </c>
      <c r="Q17" s="70" t="s">
        <v>46</v>
      </c>
      <c r="R17" s="70"/>
      <c r="S17" s="70"/>
      <c r="T17" s="70"/>
      <c r="U17" s="70"/>
      <c r="V17" s="70"/>
      <c r="W17" s="70"/>
      <c r="X17" s="70"/>
      <c r="Y17" s="70"/>
      <c r="Z17" s="1077" t="s">
        <v>211</v>
      </c>
      <c r="AA17" s="76">
        <f t="shared" si="3"/>
        <v>3</v>
      </c>
      <c r="AB17" s="77">
        <f t="shared" si="4"/>
        <v>0</v>
      </c>
      <c r="AC17" s="77">
        <f t="shared" si="5"/>
        <v>10</v>
      </c>
    </row>
    <row r="18" spans="1:29" ht="16.5" customHeight="1">
      <c r="A18" s="144" t="s">
        <v>73</v>
      </c>
      <c r="B18" s="1060" t="s">
        <v>74</v>
      </c>
      <c r="C18" s="70"/>
      <c r="D18" s="70">
        <v>3</v>
      </c>
      <c r="E18" s="70">
        <v>3</v>
      </c>
      <c r="F18" s="70">
        <v>3</v>
      </c>
      <c r="G18" s="70"/>
      <c r="H18" s="70">
        <v>4</v>
      </c>
      <c r="I18" s="70">
        <v>5</v>
      </c>
      <c r="J18" s="70">
        <v>4</v>
      </c>
      <c r="K18" s="70"/>
      <c r="L18" s="70"/>
      <c r="M18" s="70">
        <v>3</v>
      </c>
      <c r="N18" s="70"/>
      <c r="O18" s="70">
        <v>4</v>
      </c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1077" t="s">
        <v>584</v>
      </c>
      <c r="AA18" s="76">
        <f t="shared" si="3"/>
        <v>3.625</v>
      </c>
      <c r="AB18" s="77">
        <f t="shared" si="4"/>
        <v>0</v>
      </c>
      <c r="AC18" s="77">
        <f t="shared" si="5"/>
        <v>0</v>
      </c>
    </row>
    <row r="19" spans="1:29" ht="16.5" customHeight="1">
      <c r="A19" s="146" t="s">
        <v>75</v>
      </c>
      <c r="B19" s="1061" t="s">
        <v>76</v>
      </c>
      <c r="C19" s="103"/>
      <c r="D19" s="103" t="s">
        <v>586</v>
      </c>
      <c r="E19" s="103">
        <v>3</v>
      </c>
      <c r="F19" s="103">
        <v>3</v>
      </c>
      <c r="G19" s="103">
        <v>3</v>
      </c>
      <c r="H19" s="103">
        <v>5</v>
      </c>
      <c r="I19" s="103">
        <v>5</v>
      </c>
      <c r="J19" s="103">
        <v>3</v>
      </c>
      <c r="K19" s="103"/>
      <c r="L19" s="103">
        <v>3</v>
      </c>
      <c r="M19" s="103" t="s">
        <v>586</v>
      </c>
      <c r="N19" s="103">
        <v>3</v>
      </c>
      <c r="O19" s="103">
        <v>3</v>
      </c>
      <c r="P19" s="103">
        <v>3</v>
      </c>
      <c r="Q19" s="103"/>
      <c r="R19" s="103">
        <v>3</v>
      </c>
      <c r="S19" s="103"/>
      <c r="T19" s="103"/>
      <c r="U19" s="103"/>
      <c r="V19" s="103"/>
      <c r="W19" s="103"/>
      <c r="X19" s="103"/>
      <c r="Y19" s="103"/>
      <c r="Z19" s="1078" t="s">
        <v>584</v>
      </c>
      <c r="AA19" s="76">
        <f t="shared" si="3"/>
        <v>3.3636363636363638</v>
      </c>
      <c r="AB19" s="77">
        <f t="shared" si="4"/>
        <v>0</v>
      </c>
      <c r="AC19" s="77">
        <f t="shared" si="5"/>
        <v>0</v>
      </c>
    </row>
    <row r="20" spans="1:29" ht="16.5" customHeight="1">
      <c r="A20" s="149" t="s">
        <v>77</v>
      </c>
      <c r="B20" s="1058" t="s">
        <v>78</v>
      </c>
      <c r="C20" s="96"/>
      <c r="D20" s="96">
        <v>5</v>
      </c>
      <c r="E20" s="96">
        <v>5</v>
      </c>
      <c r="F20" s="96">
        <v>5</v>
      </c>
      <c r="G20" s="96">
        <v>5</v>
      </c>
      <c r="H20" s="96">
        <v>5</v>
      </c>
      <c r="I20" s="96">
        <v>5</v>
      </c>
      <c r="J20" s="96">
        <v>5</v>
      </c>
      <c r="K20" s="96"/>
      <c r="L20" s="96"/>
      <c r="M20" s="96">
        <v>5</v>
      </c>
      <c r="N20" s="96"/>
      <c r="O20" s="96">
        <v>5</v>
      </c>
      <c r="P20" s="96">
        <v>5</v>
      </c>
      <c r="Q20" s="96"/>
      <c r="R20" s="96"/>
      <c r="S20" s="96"/>
      <c r="T20" s="96"/>
      <c r="U20" s="96"/>
      <c r="V20" s="96"/>
      <c r="W20" s="96"/>
      <c r="X20" s="96"/>
      <c r="Y20" s="96"/>
      <c r="Z20" s="1075" t="s">
        <v>587</v>
      </c>
      <c r="AA20" s="76">
        <f t="shared" si="3"/>
        <v>5</v>
      </c>
      <c r="AB20" s="77">
        <f t="shared" si="4"/>
        <v>0</v>
      </c>
      <c r="AC20" s="77">
        <f t="shared" si="5"/>
        <v>0</v>
      </c>
    </row>
    <row r="21" spans="1:29" ht="16.5" customHeight="1">
      <c r="A21" s="144" t="s">
        <v>79</v>
      </c>
      <c r="B21" s="1060" t="s">
        <v>80</v>
      </c>
      <c r="C21" s="70"/>
      <c r="D21" s="70" t="s">
        <v>583</v>
      </c>
      <c r="E21" s="70">
        <v>3</v>
      </c>
      <c r="F21" s="70">
        <v>3</v>
      </c>
      <c r="G21" s="70">
        <v>3</v>
      </c>
      <c r="H21" s="70">
        <v>5</v>
      </c>
      <c r="I21" s="70" t="s">
        <v>583</v>
      </c>
      <c r="J21" s="70">
        <v>5</v>
      </c>
      <c r="K21" s="70"/>
      <c r="L21" s="70"/>
      <c r="M21" s="70">
        <v>5</v>
      </c>
      <c r="N21" s="70"/>
      <c r="O21" s="70">
        <v>3</v>
      </c>
      <c r="P21" s="70">
        <v>3</v>
      </c>
      <c r="Q21" s="70"/>
      <c r="R21" s="70"/>
      <c r="S21" s="70"/>
      <c r="T21" s="70"/>
      <c r="U21" s="70"/>
      <c r="V21" s="70"/>
      <c r="W21" s="70"/>
      <c r="X21" s="70"/>
      <c r="Y21" s="70"/>
      <c r="Z21" s="1077" t="s">
        <v>584</v>
      </c>
      <c r="AA21" s="76">
        <f t="shared" si="3"/>
        <v>3.75</v>
      </c>
      <c r="AB21" s="77">
        <f t="shared" si="4"/>
        <v>0</v>
      </c>
      <c r="AC21" s="77">
        <f t="shared" si="5"/>
        <v>0</v>
      </c>
    </row>
    <row r="22" spans="1:29" ht="16.5" customHeight="1">
      <c r="A22" s="144" t="s">
        <v>81</v>
      </c>
      <c r="B22" s="1060" t="s">
        <v>82</v>
      </c>
      <c r="C22" s="70"/>
      <c r="D22" s="70">
        <v>5</v>
      </c>
      <c r="E22" s="70">
        <v>5</v>
      </c>
      <c r="F22" s="70">
        <v>5</v>
      </c>
      <c r="G22" s="70">
        <v>5</v>
      </c>
      <c r="H22" s="70">
        <v>5</v>
      </c>
      <c r="I22" s="70">
        <v>5</v>
      </c>
      <c r="J22" s="70">
        <v>5</v>
      </c>
      <c r="K22" s="70"/>
      <c r="L22" s="70"/>
      <c r="M22" s="70" t="s">
        <v>586</v>
      </c>
      <c r="N22" s="70" t="s">
        <v>586</v>
      </c>
      <c r="O22" s="70">
        <v>3</v>
      </c>
      <c r="P22" s="70">
        <v>4</v>
      </c>
      <c r="Q22" s="70"/>
      <c r="R22" s="70"/>
      <c r="S22" s="70"/>
      <c r="T22" s="70"/>
      <c r="U22" s="70"/>
      <c r="V22" s="70"/>
      <c r="W22" s="70"/>
      <c r="X22" s="70"/>
      <c r="Y22" s="70"/>
      <c r="Z22" s="1077" t="s">
        <v>584</v>
      </c>
      <c r="AA22" s="76">
        <f t="shared" si="3"/>
        <v>4.666666666666667</v>
      </c>
      <c r="AB22" s="77">
        <f t="shared" si="4"/>
        <v>0</v>
      </c>
      <c r="AC22" s="77">
        <f t="shared" si="5"/>
        <v>0</v>
      </c>
    </row>
    <row r="23" spans="1:29" ht="16.5" customHeight="1">
      <c r="A23" s="144" t="s">
        <v>83</v>
      </c>
      <c r="B23" s="1060" t="s">
        <v>84</v>
      </c>
      <c r="C23" s="70" t="s">
        <v>46</v>
      </c>
      <c r="D23" s="70" t="s">
        <v>583</v>
      </c>
      <c r="E23" s="70">
        <v>5</v>
      </c>
      <c r="F23" s="70" t="s">
        <v>46</v>
      </c>
      <c r="G23" s="70"/>
      <c r="H23" s="70" t="s">
        <v>46</v>
      </c>
      <c r="I23" s="70" t="s">
        <v>46</v>
      </c>
      <c r="J23" s="70" t="s">
        <v>46</v>
      </c>
      <c r="K23" s="70"/>
      <c r="L23" s="70" t="s">
        <v>46</v>
      </c>
      <c r="M23" s="70" t="s">
        <v>46</v>
      </c>
      <c r="N23" s="70"/>
      <c r="O23" s="70" t="s">
        <v>46</v>
      </c>
      <c r="P23" s="70" t="s">
        <v>46</v>
      </c>
      <c r="Q23" s="70"/>
      <c r="R23" s="70" t="s">
        <v>46</v>
      </c>
      <c r="S23" s="70"/>
      <c r="T23" s="70"/>
      <c r="U23" s="70"/>
      <c r="V23" s="70"/>
      <c r="W23" s="70"/>
      <c r="X23" s="70"/>
      <c r="Y23" s="70"/>
      <c r="Z23" s="1077" t="s">
        <v>584</v>
      </c>
      <c r="AA23" s="76">
        <f t="shared" si="3"/>
        <v>5</v>
      </c>
      <c r="AB23" s="77">
        <f t="shared" si="4"/>
        <v>0</v>
      </c>
      <c r="AC23" s="77">
        <f t="shared" si="5"/>
        <v>10</v>
      </c>
    </row>
    <row r="24" spans="1:29" ht="16.5" customHeight="1">
      <c r="A24" s="154" t="s">
        <v>27</v>
      </c>
      <c r="B24" s="1061" t="s">
        <v>85</v>
      </c>
      <c r="C24" s="103"/>
      <c r="D24" s="103">
        <v>5</v>
      </c>
      <c r="E24" s="103">
        <v>5</v>
      </c>
      <c r="F24" s="103"/>
      <c r="G24" s="103"/>
      <c r="H24" s="103">
        <v>5</v>
      </c>
      <c r="I24" s="103">
        <v>5</v>
      </c>
      <c r="J24" s="103">
        <v>5</v>
      </c>
      <c r="K24" s="103"/>
      <c r="L24" s="103"/>
      <c r="M24" s="103">
        <v>5</v>
      </c>
      <c r="N24" s="103"/>
      <c r="O24" s="103">
        <v>4</v>
      </c>
      <c r="P24" s="103">
        <v>5</v>
      </c>
      <c r="Q24" s="103"/>
      <c r="R24" s="103"/>
      <c r="S24" s="103"/>
      <c r="T24" s="103"/>
      <c r="U24" s="103"/>
      <c r="V24" s="103"/>
      <c r="W24" s="103"/>
      <c r="X24" s="103"/>
      <c r="Y24" s="103"/>
      <c r="Z24" s="1078" t="s">
        <v>587</v>
      </c>
      <c r="AA24" s="76">
        <f t="shared" si="3"/>
        <v>4.875</v>
      </c>
      <c r="AB24" s="77">
        <f t="shared" si="4"/>
        <v>0</v>
      </c>
      <c r="AC24" s="77">
        <f t="shared" si="5"/>
        <v>0</v>
      </c>
    </row>
    <row r="25" spans="1:29" ht="16.5" customHeight="1">
      <c r="A25" s="156" t="s">
        <v>86</v>
      </c>
      <c r="B25" s="1080" t="s">
        <v>87</v>
      </c>
      <c r="C25" s="96" t="s">
        <v>46</v>
      </c>
      <c r="D25" s="96" t="s">
        <v>46</v>
      </c>
      <c r="E25" s="96" t="s">
        <v>46</v>
      </c>
      <c r="F25" s="96">
        <v>3</v>
      </c>
      <c r="G25" s="96">
        <v>3</v>
      </c>
      <c r="H25" s="96" t="s">
        <v>46</v>
      </c>
      <c r="I25" s="96" t="s">
        <v>583</v>
      </c>
      <c r="J25" s="96" t="s">
        <v>585</v>
      </c>
      <c r="K25" s="96"/>
      <c r="L25" s="96" t="s">
        <v>46</v>
      </c>
      <c r="M25" s="96" t="s">
        <v>46</v>
      </c>
      <c r="N25" s="96"/>
      <c r="O25" s="96" t="s">
        <v>46</v>
      </c>
      <c r="P25" s="96">
        <v>2</v>
      </c>
      <c r="Q25" s="96" t="s">
        <v>46</v>
      </c>
      <c r="R25" s="96">
        <v>3</v>
      </c>
      <c r="S25" s="96"/>
      <c r="T25" s="96"/>
      <c r="U25" s="96"/>
      <c r="V25" s="96"/>
      <c r="W25" s="96"/>
      <c r="X25" s="96"/>
      <c r="Y25" s="96"/>
      <c r="Z25" s="1075" t="s">
        <v>588</v>
      </c>
      <c r="AA25" s="76">
        <f t="shared" si="3"/>
        <v>2.75</v>
      </c>
      <c r="AB25" s="77">
        <f t="shared" si="4"/>
        <v>0</v>
      </c>
      <c r="AC25" s="77">
        <f t="shared" si="5"/>
        <v>8</v>
      </c>
    </row>
    <row r="26" spans="1:29" ht="16.5" hidden="1" customHeight="1">
      <c r="A26" s="139" t="s">
        <v>86</v>
      </c>
      <c r="B26" s="1060" t="s">
        <v>88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1077"/>
      <c r="AA26" s="76" t="str">
        <f t="shared" si="3"/>
        <v>Нет оценок</v>
      </c>
      <c r="AB26" s="77">
        <f t="shared" si="4"/>
        <v>0</v>
      </c>
      <c r="AC26" s="77">
        <f t="shared" si="5"/>
        <v>0</v>
      </c>
    </row>
    <row r="27" spans="1:29" ht="16.5" customHeight="1">
      <c r="A27" s="139" t="s">
        <v>89</v>
      </c>
      <c r="B27" s="1060" t="s">
        <v>90</v>
      </c>
      <c r="C27" s="70">
        <v>3</v>
      </c>
      <c r="D27" s="70">
        <v>5</v>
      </c>
      <c r="E27" s="70">
        <v>5</v>
      </c>
      <c r="F27" s="70">
        <v>5</v>
      </c>
      <c r="G27" s="70">
        <v>4</v>
      </c>
      <c r="H27" s="70">
        <v>5</v>
      </c>
      <c r="I27" s="70">
        <v>5</v>
      </c>
      <c r="J27" s="70">
        <v>5</v>
      </c>
      <c r="K27" s="466" t="s">
        <v>48</v>
      </c>
      <c r="L27" s="70" t="s">
        <v>586</v>
      </c>
      <c r="M27" s="70">
        <v>3</v>
      </c>
      <c r="N27" s="70">
        <v>4</v>
      </c>
      <c r="O27" s="70">
        <v>3</v>
      </c>
      <c r="P27" s="70">
        <v>5</v>
      </c>
      <c r="Q27" s="70"/>
      <c r="R27" s="70">
        <v>3</v>
      </c>
      <c r="S27" s="70"/>
      <c r="T27" s="70"/>
      <c r="U27" s="70"/>
      <c r="V27" s="70"/>
      <c r="W27" s="70"/>
      <c r="X27" s="70"/>
      <c r="Y27" s="70"/>
      <c r="Z27" s="1077" t="s">
        <v>584</v>
      </c>
      <c r="AA27" s="76">
        <f t="shared" si="3"/>
        <v>4.2307692307692308</v>
      </c>
      <c r="AB27" s="77">
        <f t="shared" si="4"/>
        <v>1</v>
      </c>
      <c r="AC27" s="77">
        <f t="shared" si="5"/>
        <v>0</v>
      </c>
    </row>
    <row r="28" spans="1:29" ht="18" customHeight="1">
      <c r="A28" s="139" t="s">
        <v>91</v>
      </c>
      <c r="B28" s="1060" t="s">
        <v>92</v>
      </c>
      <c r="C28" s="70" t="s">
        <v>586</v>
      </c>
      <c r="D28" s="70" t="s">
        <v>583</v>
      </c>
      <c r="E28" s="70">
        <v>3</v>
      </c>
      <c r="F28" s="70">
        <v>3</v>
      </c>
      <c r="G28" s="70">
        <v>3</v>
      </c>
      <c r="H28" s="70">
        <v>3</v>
      </c>
      <c r="I28" s="70">
        <v>3</v>
      </c>
      <c r="J28" s="70">
        <v>3</v>
      </c>
      <c r="K28" s="70"/>
      <c r="L28" s="70"/>
      <c r="M28" s="70">
        <v>3</v>
      </c>
      <c r="N28" s="70"/>
      <c r="O28" s="70">
        <v>3</v>
      </c>
      <c r="P28" s="70">
        <v>3</v>
      </c>
      <c r="Q28" s="70"/>
      <c r="R28" s="70">
        <v>3</v>
      </c>
      <c r="S28" s="70"/>
      <c r="T28" s="70"/>
      <c r="U28" s="70"/>
      <c r="V28" s="70"/>
      <c r="W28" s="70"/>
      <c r="X28" s="70"/>
      <c r="Y28" s="70"/>
      <c r="Z28" s="1077"/>
      <c r="AA28" s="76">
        <f t="shared" si="3"/>
        <v>3</v>
      </c>
      <c r="AB28" s="77">
        <f t="shared" si="4"/>
        <v>0</v>
      </c>
      <c r="AC28" s="77">
        <f t="shared" si="5"/>
        <v>0</v>
      </c>
    </row>
    <row r="29" spans="1:29" ht="15.75">
      <c r="A29" s="165" t="s">
        <v>93</v>
      </c>
      <c r="B29" s="165" t="s">
        <v>94</v>
      </c>
      <c r="AA29" s="127">
        <f>IFERROR(AVERAGE(AA6:AA28),"")</f>
        <v>3.8048978798978794</v>
      </c>
      <c r="AB29" s="128">
        <f>SUM(AB6:AB28)</f>
        <v>2</v>
      </c>
      <c r="AC29" s="128">
        <f>SUM(AC6:AC28)</f>
        <v>39</v>
      </c>
    </row>
    <row r="30" spans="1:29">
      <c r="A30" s="373">
        <v>45927</v>
      </c>
      <c r="B30" s="168" t="s">
        <v>589</v>
      </c>
    </row>
    <row r="31" spans="1:29" ht="18" customHeight="1">
      <c r="A31" s="373">
        <v>45937</v>
      </c>
      <c r="B31" s="168" t="s">
        <v>590</v>
      </c>
    </row>
    <row r="32" spans="1:29" ht="30">
      <c r="A32" s="373">
        <v>45939</v>
      </c>
      <c r="B32" s="168" t="s">
        <v>591</v>
      </c>
    </row>
    <row r="33" spans="1:2">
      <c r="A33" s="373">
        <v>45941</v>
      </c>
      <c r="B33" s="166" t="s">
        <v>591</v>
      </c>
    </row>
    <row r="34" spans="1:2">
      <c r="A34" s="373">
        <v>45941</v>
      </c>
      <c r="B34" s="166" t="s">
        <v>592</v>
      </c>
    </row>
    <row r="35" spans="1:2">
      <c r="A35" s="373">
        <v>45943</v>
      </c>
      <c r="B35" s="166" t="s">
        <v>592</v>
      </c>
    </row>
    <row r="36" spans="1:2">
      <c r="A36" s="373">
        <v>45950</v>
      </c>
      <c r="B36" s="166" t="s">
        <v>592</v>
      </c>
    </row>
    <row r="37" spans="1:2">
      <c r="A37" s="373">
        <v>45953</v>
      </c>
      <c r="B37" s="166" t="s">
        <v>593</v>
      </c>
    </row>
    <row r="38" spans="1:2">
      <c r="A38" s="373">
        <v>45964</v>
      </c>
      <c r="B38" s="166" t="s">
        <v>593</v>
      </c>
    </row>
    <row r="39" spans="1:2">
      <c r="A39" s="373">
        <v>45968</v>
      </c>
      <c r="B39" s="166" t="s">
        <v>593</v>
      </c>
    </row>
    <row r="40" spans="1:2">
      <c r="A40" s="373">
        <v>45969</v>
      </c>
      <c r="B40" s="166" t="s">
        <v>594</v>
      </c>
    </row>
    <row r="41" spans="1:2">
      <c r="A41" s="373">
        <v>45969</v>
      </c>
      <c r="B41" s="166" t="s">
        <v>594</v>
      </c>
    </row>
    <row r="42" spans="1:2">
      <c r="A42" s="373">
        <v>45974</v>
      </c>
      <c r="B42" s="166" t="s">
        <v>594</v>
      </c>
    </row>
    <row r="43" spans="1:2">
      <c r="A43" s="373">
        <v>45974</v>
      </c>
      <c r="B43" s="166" t="s">
        <v>595</v>
      </c>
    </row>
    <row r="44" spans="1:2">
      <c r="A44" s="373">
        <v>45981</v>
      </c>
      <c r="B44" s="166"/>
    </row>
    <row r="45" spans="1:2">
      <c r="A45" s="373">
        <v>45988</v>
      </c>
      <c r="B45" s="166"/>
    </row>
    <row r="46" spans="1:2">
      <c r="A46" s="373"/>
      <c r="B46" s="166"/>
    </row>
    <row r="47" spans="1:2">
      <c r="A47" s="166"/>
      <c r="B47" s="166"/>
    </row>
    <row r="48" spans="1:2">
      <c r="A48" s="166"/>
      <c r="B48" s="166"/>
    </row>
    <row r="49" spans="1:2">
      <c r="A49" s="166"/>
      <c r="B49" s="166"/>
    </row>
    <row r="50" spans="1:2">
      <c r="A50" s="166"/>
      <c r="B50" s="166"/>
    </row>
    <row r="51" spans="1:2">
      <c r="A51" s="166"/>
      <c r="B51" s="166"/>
    </row>
    <row r="52" spans="1:2">
      <c r="A52" s="166"/>
      <c r="B52" s="166"/>
    </row>
    <row r="53" spans="1:2">
      <c r="A53" s="166"/>
      <c r="B53" s="166"/>
    </row>
    <row r="54" spans="1:2">
      <c r="A54" s="166"/>
      <c r="B54" s="166"/>
    </row>
    <row r="55" spans="1:2">
      <c r="A55" s="166"/>
      <c r="B55" s="166"/>
    </row>
    <row r="56" spans="1:2">
      <c r="A56" s="166"/>
      <c r="B56" s="166"/>
    </row>
    <row r="57" spans="1:2">
      <c r="A57" s="166"/>
      <c r="B57" s="166"/>
    </row>
    <row r="58" spans="1:2">
      <c r="A58" s="166"/>
      <c r="B58" s="166"/>
    </row>
    <row r="59" spans="1:2">
      <c r="A59" s="166"/>
      <c r="B59" s="166"/>
    </row>
    <row r="60" spans="1:2">
      <c r="A60" s="166"/>
      <c r="B60" s="166"/>
    </row>
    <row r="61" spans="1:2">
      <c r="A61" s="166"/>
      <c r="B61" s="166"/>
    </row>
    <row r="62" spans="1:2">
      <c r="A62" s="166"/>
      <c r="B62" s="166"/>
    </row>
    <row r="63" spans="1:2">
      <c r="A63" s="166"/>
      <c r="B63" s="166"/>
    </row>
    <row r="64" spans="1:2">
      <c r="A64" s="166"/>
      <c r="B64" s="166"/>
    </row>
  </sheetData>
  <mergeCells count="6">
    <mergeCell ref="AB3:AC3"/>
    <mergeCell ref="A1:B1"/>
    <mergeCell ref="C1:Z1"/>
    <mergeCell ref="A2:B2"/>
    <mergeCell ref="C2:Z2"/>
    <mergeCell ref="A3:A4"/>
  </mergeCells>
  <conditionalFormatting sqref="AA5:AA29">
    <cfRule type="cellIs" dxfId="23" priority="2" operator="lessThan">
      <formula>3</formula>
    </cfRule>
  </conditionalFormatting>
  <conditionalFormatting sqref="AC5:AC28">
    <cfRule type="cellIs" dxfId="22" priority="1" operator="greaterThan">
      <formula>0</formula>
    </cfRule>
  </conditionalFormatting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D00FF"/>
  </sheetPr>
  <dimension ref="A1:AC112"/>
  <sheetViews>
    <sheetView workbookViewId="0">
      <selection activeCell="G24" sqref="G24"/>
    </sheetView>
  </sheetViews>
  <sheetFormatPr defaultColWidth="13.44140625" defaultRowHeight="14.25" customHeight="1"/>
  <cols>
    <col min="1" max="1" width="7.77734375" style="1" customWidth="1"/>
    <col min="2" max="2" width="34.44140625" style="1" customWidth="1"/>
    <col min="3" max="6" width="2.77734375" style="1" customWidth="1"/>
    <col min="7" max="8" width="4.33203125" style="1" customWidth="1"/>
    <col min="9" max="26" width="2.77734375" style="1" customWidth="1"/>
    <col min="27" max="27" width="10.88671875" style="1" customWidth="1"/>
    <col min="28" max="29" width="8.88671875" style="1" customWidth="1"/>
    <col min="30" max="16384" width="13.44140625" style="1"/>
  </cols>
  <sheetData>
    <row r="1" spans="1:29" ht="24.75" customHeight="1">
      <c r="A1" s="1418" t="s">
        <v>38</v>
      </c>
      <c r="B1" s="1418"/>
      <c r="C1" s="1419" t="s">
        <v>596</v>
      </c>
      <c r="D1" s="1419"/>
      <c r="E1" s="1419"/>
      <c r="F1" s="1419"/>
      <c r="G1" s="1419"/>
      <c r="H1" s="1419"/>
      <c r="I1" s="1419"/>
      <c r="J1" s="1419"/>
      <c r="K1" s="1419"/>
      <c r="L1" s="1419"/>
      <c r="M1" s="1419"/>
      <c r="N1" s="1419"/>
      <c r="O1" s="1419"/>
      <c r="P1" s="1419"/>
      <c r="Q1" s="1419"/>
      <c r="R1" s="1419"/>
      <c r="S1" s="1419"/>
      <c r="T1" s="1419"/>
      <c r="U1" s="1419"/>
      <c r="V1" s="1419"/>
      <c r="W1" s="1419"/>
      <c r="X1" s="1419"/>
      <c r="Y1" s="1419"/>
      <c r="Z1" s="1419"/>
    </row>
    <row r="2" spans="1:29" ht="24.75" customHeight="1">
      <c r="A2" s="1418" t="s">
        <v>39</v>
      </c>
      <c r="B2" s="1418"/>
      <c r="C2" s="1418" t="s">
        <v>412</v>
      </c>
      <c r="D2" s="1418"/>
      <c r="E2" s="1418"/>
      <c r="F2" s="1418"/>
      <c r="G2" s="1418"/>
      <c r="H2" s="1418"/>
      <c r="I2" s="1418"/>
      <c r="J2" s="1418"/>
      <c r="K2" s="1418"/>
      <c r="L2" s="1418"/>
      <c r="M2" s="1418"/>
      <c r="N2" s="1418"/>
      <c r="O2" s="1418"/>
      <c r="P2" s="1418"/>
      <c r="Q2" s="1418"/>
      <c r="R2" s="1418"/>
      <c r="S2" s="1418"/>
      <c r="T2" s="1418"/>
      <c r="U2" s="1418"/>
      <c r="V2" s="1418"/>
      <c r="W2" s="1418"/>
      <c r="X2" s="1418"/>
      <c r="Y2" s="1418"/>
      <c r="Z2" s="1418"/>
      <c r="AA2" s="25"/>
      <c r="AB2" s="25"/>
      <c r="AC2" s="25"/>
    </row>
    <row r="3" spans="1:29" ht="15.75">
      <c r="A3" s="1420" t="s">
        <v>41</v>
      </c>
      <c r="B3" s="1081" t="s">
        <v>42</v>
      </c>
      <c r="C3" s="1422" t="s">
        <v>150</v>
      </c>
      <c r="D3" s="1423"/>
      <c r="E3" s="1423"/>
      <c r="F3" s="1423"/>
      <c r="G3" s="1424" t="s">
        <v>151</v>
      </c>
      <c r="H3" s="1425"/>
      <c r="I3" s="1426" t="s">
        <v>456</v>
      </c>
      <c r="J3" s="1426"/>
      <c r="K3" s="1426"/>
      <c r="L3" s="1427" t="s">
        <v>153</v>
      </c>
      <c r="M3" s="1428"/>
      <c r="N3" s="1428"/>
      <c r="O3" s="1428"/>
      <c r="P3" s="1429"/>
      <c r="Q3" s="916"/>
      <c r="R3" s="916"/>
      <c r="S3" s="916"/>
      <c r="T3" s="916"/>
      <c r="U3" s="916"/>
      <c r="V3" s="916"/>
      <c r="W3" s="916"/>
      <c r="X3" s="916"/>
      <c r="Y3" s="916"/>
      <c r="Z3" s="916"/>
      <c r="AA3" s="1082"/>
      <c r="AB3" s="1430" t="s">
        <v>0</v>
      </c>
      <c r="AC3" s="1431"/>
    </row>
    <row r="4" spans="1:29" ht="15.75">
      <c r="A4" s="1421"/>
      <c r="B4" s="1083" t="s">
        <v>43</v>
      </c>
      <c r="C4" s="1084">
        <v>13</v>
      </c>
      <c r="D4" s="1085">
        <v>17</v>
      </c>
      <c r="E4" s="1086">
        <v>27</v>
      </c>
      <c r="F4" s="1087">
        <v>31</v>
      </c>
      <c r="G4" s="1086">
        <v>24</v>
      </c>
      <c r="H4" s="1087">
        <v>26</v>
      </c>
      <c r="I4" s="1087">
        <v>4</v>
      </c>
      <c r="J4" s="1086">
        <v>10</v>
      </c>
      <c r="K4" s="1087">
        <v>12</v>
      </c>
      <c r="L4" s="1085">
        <v>3</v>
      </c>
      <c r="M4" s="1085">
        <v>3</v>
      </c>
      <c r="N4" s="1085"/>
      <c r="O4" s="1085"/>
      <c r="P4" s="1085"/>
      <c r="Q4" s="1085"/>
      <c r="R4" s="1085"/>
      <c r="S4" s="1085"/>
      <c r="T4" s="1085"/>
      <c r="U4" s="1085"/>
      <c r="V4" s="1085"/>
      <c r="W4" s="1085"/>
      <c r="X4" s="1085"/>
      <c r="Y4" s="1085"/>
      <c r="Z4" s="1085"/>
      <c r="AA4" s="1082" t="s">
        <v>33</v>
      </c>
      <c r="AB4" s="1088" t="s">
        <v>5</v>
      </c>
      <c r="AC4" s="1088" t="s">
        <v>6</v>
      </c>
    </row>
    <row r="5" spans="1:29" ht="15.75" customHeight="1">
      <c r="A5" s="136" t="s">
        <v>44</v>
      </c>
      <c r="B5" s="912" t="s">
        <v>50</v>
      </c>
      <c r="C5" s="1089">
        <v>5</v>
      </c>
      <c r="D5" s="1089"/>
      <c r="E5" s="1089">
        <v>5</v>
      </c>
      <c r="F5" s="1090" t="s">
        <v>46</v>
      </c>
      <c r="G5" s="1089">
        <v>5</v>
      </c>
      <c r="H5" s="1090">
        <v>5</v>
      </c>
      <c r="I5" s="1090" t="s">
        <v>46</v>
      </c>
      <c r="J5" s="1089" t="s">
        <v>46</v>
      </c>
      <c r="K5" s="1090">
        <v>2</v>
      </c>
      <c r="L5" s="1089" t="s">
        <v>46</v>
      </c>
      <c r="M5" s="1089" t="s">
        <v>46</v>
      </c>
      <c r="N5" s="1089"/>
      <c r="O5" s="1089"/>
      <c r="P5" s="1089"/>
      <c r="Q5" s="1089"/>
      <c r="R5" s="1089"/>
      <c r="S5" s="1089"/>
      <c r="T5" s="1089"/>
      <c r="U5" s="1089"/>
      <c r="V5" s="1089"/>
      <c r="W5" s="1089"/>
      <c r="X5" s="1089"/>
      <c r="Y5" s="1089"/>
      <c r="Z5" s="1089"/>
      <c r="AA5" s="775">
        <f t="shared" ref="AA5:AA28" si="0">IFERROR(AVERAGE(C5:Z5),"Нет оценок")</f>
        <v>4.4000000000000004</v>
      </c>
      <c r="AB5" s="766">
        <f t="shared" ref="AB5:AB28" si="1">COUNTIF(C5:Z5,"н/у")</f>
        <v>0</v>
      </c>
      <c r="AC5" s="766">
        <f t="shared" ref="AC5:AC28" si="2">COUNTIF(C5:Z5,"н")</f>
        <v>5</v>
      </c>
    </row>
    <row r="6" spans="1:29" ht="15.75" customHeight="1">
      <c r="A6" s="139" t="s">
        <v>49</v>
      </c>
      <c r="B6" s="137" t="s">
        <v>45</v>
      </c>
      <c r="C6" s="1091" t="s">
        <v>46</v>
      </c>
      <c r="D6" s="1091" t="s">
        <v>46</v>
      </c>
      <c r="E6" s="1091">
        <v>4</v>
      </c>
      <c r="F6" s="1092" t="s">
        <v>46</v>
      </c>
      <c r="G6" s="1091" t="s">
        <v>46</v>
      </c>
      <c r="H6" s="1092">
        <v>4</v>
      </c>
      <c r="I6" s="1092" t="s">
        <v>46</v>
      </c>
      <c r="J6" s="1091" t="s">
        <v>46</v>
      </c>
      <c r="K6" s="1092">
        <v>2</v>
      </c>
      <c r="L6" s="1091"/>
      <c r="M6" s="1091"/>
      <c r="N6" s="1091"/>
      <c r="O6" s="1091"/>
      <c r="P6" s="1091"/>
      <c r="Q6" s="1091"/>
      <c r="R6" s="1091"/>
      <c r="S6" s="1091"/>
      <c r="T6" s="1091"/>
      <c r="U6" s="1091"/>
      <c r="V6" s="1091"/>
      <c r="W6" s="1091"/>
      <c r="X6" s="1091"/>
      <c r="Y6" s="1091"/>
      <c r="Z6" s="1091"/>
      <c r="AA6" s="775">
        <f t="shared" si="0"/>
        <v>3.3333333333333335</v>
      </c>
      <c r="AB6" s="766">
        <f t="shared" si="1"/>
        <v>0</v>
      </c>
      <c r="AC6" s="766">
        <f t="shared" si="2"/>
        <v>6</v>
      </c>
    </row>
    <row r="7" spans="1:29" ht="15.75" customHeight="1">
      <c r="A7" s="204" t="s">
        <v>51</v>
      </c>
      <c r="B7" s="137" t="s">
        <v>52</v>
      </c>
      <c r="C7" s="1091">
        <v>5</v>
      </c>
      <c r="D7" s="1091"/>
      <c r="E7" s="1091">
        <v>4</v>
      </c>
      <c r="F7" s="1092">
        <v>5</v>
      </c>
      <c r="G7" s="1091">
        <v>5</v>
      </c>
      <c r="H7" s="1092">
        <v>4</v>
      </c>
      <c r="I7" s="1092">
        <v>5</v>
      </c>
      <c r="J7" s="1091">
        <v>5</v>
      </c>
      <c r="K7" s="1092">
        <v>2</v>
      </c>
      <c r="L7" s="1091"/>
      <c r="M7" s="1091"/>
      <c r="N7" s="1091"/>
      <c r="O7" s="1091"/>
      <c r="P7" s="1091"/>
      <c r="Q7" s="1091"/>
      <c r="R7" s="1091"/>
      <c r="S7" s="1091"/>
      <c r="T7" s="1091"/>
      <c r="U7" s="1091"/>
      <c r="V7" s="1091"/>
      <c r="W7" s="1091"/>
      <c r="X7" s="1091"/>
      <c r="Y7" s="1091"/>
      <c r="Z7" s="1091"/>
      <c r="AA7" s="775">
        <f t="shared" si="0"/>
        <v>4.375</v>
      </c>
      <c r="AB7" s="766">
        <f t="shared" si="1"/>
        <v>0</v>
      </c>
      <c r="AC7" s="766">
        <f t="shared" si="2"/>
        <v>0</v>
      </c>
    </row>
    <row r="8" spans="1:29" ht="15.75" customHeight="1">
      <c r="A8" s="144" t="s">
        <v>53</v>
      </c>
      <c r="B8" s="137" t="s">
        <v>54</v>
      </c>
      <c r="C8" s="1091">
        <v>5</v>
      </c>
      <c r="D8" s="1091"/>
      <c r="E8" s="1091">
        <v>4</v>
      </c>
      <c r="F8" s="1092" t="s">
        <v>46</v>
      </c>
      <c r="G8" s="1091">
        <v>5</v>
      </c>
      <c r="H8" s="1092">
        <v>5</v>
      </c>
      <c r="I8" s="1092">
        <v>5</v>
      </c>
      <c r="J8" s="1091" t="s">
        <v>46</v>
      </c>
      <c r="K8" s="1092">
        <v>3</v>
      </c>
      <c r="L8" s="1091"/>
      <c r="M8" s="1091"/>
      <c r="N8" s="1091"/>
      <c r="O8" s="1091"/>
      <c r="P8" s="1091"/>
      <c r="Q8" s="1091"/>
      <c r="R8" s="1091"/>
      <c r="S8" s="1091"/>
      <c r="T8" s="1091"/>
      <c r="U8" s="1091"/>
      <c r="V8" s="1091"/>
      <c r="W8" s="1091"/>
      <c r="X8" s="1091"/>
      <c r="Y8" s="1091"/>
      <c r="Z8" s="1091"/>
      <c r="AA8" s="775">
        <f t="shared" si="0"/>
        <v>4.5</v>
      </c>
      <c r="AB8" s="766">
        <f t="shared" si="1"/>
        <v>0</v>
      </c>
      <c r="AC8" s="766">
        <f t="shared" si="2"/>
        <v>2</v>
      </c>
    </row>
    <row r="9" spans="1:29" ht="15.75" customHeight="1">
      <c r="A9" s="146" t="s">
        <v>55</v>
      </c>
      <c r="B9" s="147" t="s">
        <v>56</v>
      </c>
      <c r="C9" s="1093" t="s">
        <v>46</v>
      </c>
      <c r="D9" s="1093"/>
      <c r="E9" s="1093">
        <v>4</v>
      </c>
      <c r="F9" s="1094">
        <v>5</v>
      </c>
      <c r="G9" s="1093">
        <v>5</v>
      </c>
      <c r="H9" s="1094">
        <v>5</v>
      </c>
      <c r="I9" s="1094">
        <v>5</v>
      </c>
      <c r="J9" s="1093">
        <v>5</v>
      </c>
      <c r="K9" s="1094">
        <v>4</v>
      </c>
      <c r="L9" s="1093"/>
      <c r="M9" s="1093"/>
      <c r="N9" s="1093"/>
      <c r="O9" s="1093"/>
      <c r="P9" s="1093"/>
      <c r="Q9" s="1093"/>
      <c r="R9" s="1093"/>
      <c r="S9" s="1093"/>
      <c r="T9" s="1093"/>
      <c r="U9" s="1093"/>
      <c r="V9" s="1093"/>
      <c r="W9" s="1093"/>
      <c r="X9" s="1093"/>
      <c r="Y9" s="1093"/>
      <c r="Z9" s="1093"/>
      <c r="AA9" s="775">
        <f t="shared" si="0"/>
        <v>4.7142857142857144</v>
      </c>
      <c r="AB9" s="766">
        <f t="shared" si="1"/>
        <v>0</v>
      </c>
      <c r="AC9" s="766">
        <f t="shared" si="2"/>
        <v>1</v>
      </c>
    </row>
    <row r="10" spans="1:29" ht="15.75" customHeight="1">
      <c r="A10" s="149" t="s">
        <v>57</v>
      </c>
      <c r="B10" s="150" t="s">
        <v>58</v>
      </c>
      <c r="C10" s="1095">
        <v>5</v>
      </c>
      <c r="D10" s="1095"/>
      <c r="E10" s="1095">
        <v>5</v>
      </c>
      <c r="F10" s="1096">
        <v>5</v>
      </c>
      <c r="G10" s="1095">
        <v>5</v>
      </c>
      <c r="H10" s="1096">
        <v>5</v>
      </c>
      <c r="I10" s="1096">
        <v>5</v>
      </c>
      <c r="J10" s="1095">
        <v>5</v>
      </c>
      <c r="K10" s="1096">
        <v>4</v>
      </c>
      <c r="L10" s="1095"/>
      <c r="M10" s="1095"/>
      <c r="N10" s="1095"/>
      <c r="O10" s="1095"/>
      <c r="P10" s="1095"/>
      <c r="Q10" s="1095"/>
      <c r="R10" s="1095"/>
      <c r="S10" s="1095"/>
      <c r="T10" s="1095"/>
      <c r="U10" s="1095"/>
      <c r="V10" s="1095"/>
      <c r="W10" s="1095"/>
      <c r="X10" s="1095"/>
      <c r="Y10" s="1095"/>
      <c r="Z10" s="1095"/>
      <c r="AA10" s="775">
        <f t="shared" si="0"/>
        <v>4.875</v>
      </c>
      <c r="AB10" s="766">
        <f t="shared" si="1"/>
        <v>0</v>
      </c>
      <c r="AC10" s="766">
        <f t="shared" si="2"/>
        <v>0</v>
      </c>
    </row>
    <row r="11" spans="1:29" ht="15.75" customHeight="1">
      <c r="A11" s="144" t="s">
        <v>59</v>
      </c>
      <c r="B11" s="137" t="s">
        <v>60</v>
      </c>
      <c r="C11" s="1091">
        <v>5</v>
      </c>
      <c r="D11" s="1091"/>
      <c r="E11" s="1091">
        <v>5</v>
      </c>
      <c r="F11" s="1092">
        <v>5</v>
      </c>
      <c r="G11" s="1091">
        <v>5</v>
      </c>
      <c r="H11" s="1092">
        <v>4</v>
      </c>
      <c r="I11" s="1092">
        <v>4</v>
      </c>
      <c r="J11" s="1091">
        <v>5</v>
      </c>
      <c r="K11" s="1092">
        <v>3</v>
      </c>
      <c r="L11" s="1091"/>
      <c r="M11" s="1091"/>
      <c r="N11" s="1091"/>
      <c r="O11" s="1091"/>
      <c r="P11" s="1091"/>
      <c r="Q11" s="1091"/>
      <c r="R11" s="1091"/>
      <c r="S11" s="1091"/>
      <c r="T11" s="1091"/>
      <c r="U11" s="1091"/>
      <c r="V11" s="1091"/>
      <c r="W11" s="1091"/>
      <c r="X11" s="1091"/>
      <c r="Y11" s="1091"/>
      <c r="Z11" s="1091"/>
      <c r="AA11" s="775">
        <f t="shared" si="0"/>
        <v>4.5</v>
      </c>
      <c r="AB11" s="766">
        <f t="shared" si="1"/>
        <v>0</v>
      </c>
      <c r="AC11" s="766">
        <f t="shared" si="2"/>
        <v>0</v>
      </c>
    </row>
    <row r="12" spans="1:29" ht="15.75" customHeight="1">
      <c r="A12" s="144" t="s">
        <v>61</v>
      </c>
      <c r="B12" s="137" t="s">
        <v>62</v>
      </c>
      <c r="C12" s="1091">
        <v>5</v>
      </c>
      <c r="D12" s="1091"/>
      <c r="E12" s="1091">
        <v>3</v>
      </c>
      <c r="F12" s="1092">
        <v>5</v>
      </c>
      <c r="G12" s="1091">
        <v>5</v>
      </c>
      <c r="H12" s="1092">
        <v>3</v>
      </c>
      <c r="I12" s="1092">
        <v>5</v>
      </c>
      <c r="J12" s="1091" t="s">
        <v>46</v>
      </c>
      <c r="K12" s="1092">
        <v>2</v>
      </c>
      <c r="L12" s="1091"/>
      <c r="M12" s="1091"/>
      <c r="N12" s="1091"/>
      <c r="O12" s="1091"/>
      <c r="P12" s="1091"/>
      <c r="Q12" s="1091"/>
      <c r="R12" s="1091"/>
      <c r="S12" s="1091"/>
      <c r="T12" s="1091"/>
      <c r="U12" s="1091"/>
      <c r="V12" s="1091"/>
      <c r="W12" s="1091"/>
      <c r="X12" s="1091"/>
      <c r="Y12" s="1091"/>
      <c r="Z12" s="1091"/>
      <c r="AA12" s="775">
        <f t="shared" si="0"/>
        <v>4</v>
      </c>
      <c r="AB12" s="766">
        <f t="shared" si="1"/>
        <v>0</v>
      </c>
      <c r="AC12" s="766">
        <f t="shared" si="2"/>
        <v>1</v>
      </c>
    </row>
    <row r="13" spans="1:29" ht="15.75" customHeight="1">
      <c r="A13" s="144" t="s">
        <v>63</v>
      </c>
      <c r="B13" s="150" t="s">
        <v>64</v>
      </c>
      <c r="C13" s="1095" t="s">
        <v>46</v>
      </c>
      <c r="D13" s="1095"/>
      <c r="E13" s="1095"/>
      <c r="F13" s="1096">
        <v>3</v>
      </c>
      <c r="G13" s="1095">
        <v>5</v>
      </c>
      <c r="H13" s="1096">
        <v>2</v>
      </c>
      <c r="I13" s="1096">
        <v>2</v>
      </c>
      <c r="J13" s="1095" t="s">
        <v>46</v>
      </c>
      <c r="K13" s="1096">
        <v>2</v>
      </c>
      <c r="L13" s="1095"/>
      <c r="M13" s="1095"/>
      <c r="N13" s="1095"/>
      <c r="O13" s="1095"/>
      <c r="P13" s="1095"/>
      <c r="Q13" s="1095"/>
      <c r="R13" s="1095"/>
      <c r="S13" s="1095"/>
      <c r="T13" s="1095"/>
      <c r="U13" s="1095"/>
      <c r="V13" s="1095"/>
      <c r="W13" s="1095"/>
      <c r="X13" s="1095"/>
      <c r="Y13" s="1095"/>
      <c r="Z13" s="1095"/>
      <c r="AA13" s="775">
        <f t="shared" si="0"/>
        <v>2.8</v>
      </c>
      <c r="AB13" s="766">
        <f t="shared" si="1"/>
        <v>0</v>
      </c>
      <c r="AC13" s="766">
        <f t="shared" si="2"/>
        <v>2</v>
      </c>
    </row>
    <row r="14" spans="1:29" ht="15.75" customHeight="1">
      <c r="A14" s="146" t="s">
        <v>65</v>
      </c>
      <c r="B14" s="151" t="s">
        <v>66</v>
      </c>
      <c r="C14" s="1097" t="s">
        <v>46</v>
      </c>
      <c r="D14" s="1097"/>
      <c r="E14" s="1097">
        <v>4</v>
      </c>
      <c r="F14" s="1098">
        <v>4</v>
      </c>
      <c r="G14" s="1097">
        <v>5</v>
      </c>
      <c r="H14" s="1098">
        <v>5</v>
      </c>
      <c r="I14" s="1098">
        <v>4</v>
      </c>
      <c r="J14" s="1097">
        <v>5</v>
      </c>
      <c r="K14" s="1098">
        <v>2</v>
      </c>
      <c r="L14" s="1097"/>
      <c r="M14" s="1097"/>
      <c r="N14" s="1097"/>
      <c r="O14" s="1097"/>
      <c r="P14" s="1097"/>
      <c r="Q14" s="1097"/>
      <c r="R14" s="1097"/>
      <c r="S14" s="1097"/>
      <c r="T14" s="1097"/>
      <c r="U14" s="1097"/>
      <c r="V14" s="1097"/>
      <c r="W14" s="1097"/>
      <c r="X14" s="1097"/>
      <c r="Y14" s="1097"/>
      <c r="Z14" s="1097"/>
      <c r="AA14" s="775">
        <f t="shared" si="0"/>
        <v>4.1428571428571432</v>
      </c>
      <c r="AB14" s="766">
        <f t="shared" si="1"/>
        <v>0</v>
      </c>
      <c r="AC14" s="766">
        <f t="shared" si="2"/>
        <v>1</v>
      </c>
    </row>
    <row r="15" spans="1:29" ht="15.75" customHeight="1">
      <c r="A15" s="149" t="s">
        <v>67</v>
      </c>
      <c r="B15" s="150" t="s">
        <v>68</v>
      </c>
      <c r="C15" s="1095">
        <v>5</v>
      </c>
      <c r="D15" s="1095"/>
      <c r="E15" s="1095">
        <v>5</v>
      </c>
      <c r="F15" s="1096">
        <v>5</v>
      </c>
      <c r="G15" s="1095">
        <v>4</v>
      </c>
      <c r="H15" s="1096">
        <v>4</v>
      </c>
      <c r="I15" s="1096">
        <v>4</v>
      </c>
      <c r="J15" s="1095">
        <v>5</v>
      </c>
      <c r="K15" s="1096">
        <v>3</v>
      </c>
      <c r="L15" s="1095"/>
      <c r="M15" s="1095"/>
      <c r="N15" s="1095"/>
      <c r="O15" s="1095"/>
      <c r="P15" s="1095"/>
      <c r="Q15" s="1095"/>
      <c r="R15" s="1095"/>
      <c r="S15" s="1095"/>
      <c r="T15" s="1095"/>
      <c r="U15" s="1095"/>
      <c r="V15" s="1095"/>
      <c r="W15" s="1095"/>
      <c r="X15" s="1095"/>
      <c r="Y15" s="1095"/>
      <c r="Z15" s="1095"/>
      <c r="AA15" s="775">
        <f t="shared" si="0"/>
        <v>4.375</v>
      </c>
      <c r="AB15" s="766">
        <f t="shared" si="1"/>
        <v>0</v>
      </c>
      <c r="AC15" s="766">
        <f t="shared" si="2"/>
        <v>0</v>
      </c>
    </row>
    <row r="16" spans="1:29" ht="15.75" customHeight="1">
      <c r="A16" s="144" t="s">
        <v>69</v>
      </c>
      <c r="B16" s="137" t="s">
        <v>70</v>
      </c>
      <c r="C16" s="1091" t="s">
        <v>46</v>
      </c>
      <c r="D16" s="1091"/>
      <c r="E16" s="1091">
        <v>4</v>
      </c>
      <c r="F16" s="1092">
        <v>5</v>
      </c>
      <c r="G16" s="1091">
        <v>5</v>
      </c>
      <c r="H16" s="1092">
        <v>4</v>
      </c>
      <c r="I16" s="1092">
        <v>5</v>
      </c>
      <c r="J16" s="1091">
        <v>2</v>
      </c>
      <c r="K16" s="1092">
        <v>2</v>
      </c>
      <c r="L16" s="1091"/>
      <c r="M16" s="1091"/>
      <c r="N16" s="1091"/>
      <c r="O16" s="1091"/>
      <c r="P16" s="1091"/>
      <c r="Q16" s="1091"/>
      <c r="R16" s="1091"/>
      <c r="S16" s="1091"/>
      <c r="T16" s="1091"/>
      <c r="U16" s="1091"/>
      <c r="V16" s="1091"/>
      <c r="W16" s="1091"/>
      <c r="X16" s="1091"/>
      <c r="Y16" s="1091"/>
      <c r="Z16" s="1091"/>
      <c r="AA16" s="775">
        <f t="shared" si="0"/>
        <v>3.8571428571428572</v>
      </c>
      <c r="AB16" s="766">
        <f t="shared" si="1"/>
        <v>0</v>
      </c>
      <c r="AC16" s="766">
        <f t="shared" si="2"/>
        <v>1</v>
      </c>
    </row>
    <row r="17" spans="1:29" ht="15.75" customHeight="1">
      <c r="A17" s="144" t="s">
        <v>71</v>
      </c>
      <c r="B17" s="137" t="s">
        <v>72</v>
      </c>
      <c r="C17" s="1091">
        <v>5</v>
      </c>
      <c r="D17" s="1091"/>
      <c r="E17" s="1091" t="s">
        <v>46</v>
      </c>
      <c r="F17" s="1092" t="s">
        <v>46</v>
      </c>
      <c r="G17" s="1091" t="s">
        <v>46</v>
      </c>
      <c r="H17" s="1092">
        <v>4</v>
      </c>
      <c r="I17" s="1092" t="s">
        <v>46</v>
      </c>
      <c r="J17" s="1091" t="s">
        <v>46</v>
      </c>
      <c r="K17" s="1092">
        <v>4</v>
      </c>
      <c r="L17" s="1091"/>
      <c r="M17" s="1091"/>
      <c r="N17" s="1091"/>
      <c r="O17" s="1091"/>
      <c r="P17" s="1091"/>
      <c r="Q17" s="1091"/>
      <c r="R17" s="1091"/>
      <c r="S17" s="1091"/>
      <c r="T17" s="1091"/>
      <c r="U17" s="1091"/>
      <c r="V17" s="1091"/>
      <c r="W17" s="1091"/>
      <c r="X17" s="1091"/>
      <c r="Y17" s="1091"/>
      <c r="Z17" s="1091"/>
      <c r="AA17" s="775">
        <f t="shared" si="0"/>
        <v>4.333333333333333</v>
      </c>
      <c r="AB17" s="766">
        <f t="shared" si="1"/>
        <v>0</v>
      </c>
      <c r="AC17" s="766">
        <f t="shared" si="2"/>
        <v>5</v>
      </c>
    </row>
    <row r="18" spans="1:29" ht="15.75" customHeight="1">
      <c r="A18" s="144" t="s">
        <v>73</v>
      </c>
      <c r="B18" s="150" t="s">
        <v>74</v>
      </c>
      <c r="C18" s="1095" t="s">
        <v>46</v>
      </c>
      <c r="D18" s="1095"/>
      <c r="E18" s="1095">
        <v>3</v>
      </c>
      <c r="F18" s="1096">
        <v>3</v>
      </c>
      <c r="G18" s="1095">
        <v>3</v>
      </c>
      <c r="H18" s="1096">
        <v>4</v>
      </c>
      <c r="I18" s="1096">
        <v>5</v>
      </c>
      <c r="J18" s="1095" t="s">
        <v>46</v>
      </c>
      <c r="K18" s="1096">
        <v>2</v>
      </c>
      <c r="L18" s="1095"/>
      <c r="M18" s="1095"/>
      <c r="N18" s="1095"/>
      <c r="O18" s="1095"/>
      <c r="P18" s="1095"/>
      <c r="Q18" s="1095"/>
      <c r="R18" s="1095"/>
      <c r="S18" s="1095"/>
      <c r="T18" s="1095"/>
      <c r="U18" s="1095"/>
      <c r="V18" s="1095"/>
      <c r="W18" s="1095"/>
      <c r="X18" s="1095"/>
      <c r="Y18" s="1095"/>
      <c r="Z18" s="1095"/>
      <c r="AA18" s="775">
        <f t="shared" si="0"/>
        <v>3.3333333333333335</v>
      </c>
      <c r="AB18" s="766">
        <f t="shared" si="1"/>
        <v>0</v>
      </c>
      <c r="AC18" s="766">
        <f t="shared" si="2"/>
        <v>2</v>
      </c>
    </row>
    <row r="19" spans="1:29" ht="15.75" customHeight="1">
      <c r="A19" s="146" t="s">
        <v>75</v>
      </c>
      <c r="B19" s="151" t="s">
        <v>76</v>
      </c>
      <c r="C19" s="1097">
        <v>5</v>
      </c>
      <c r="D19" s="1097"/>
      <c r="E19" s="1097">
        <v>4</v>
      </c>
      <c r="F19" s="1098">
        <v>5</v>
      </c>
      <c r="G19" s="1097">
        <v>5</v>
      </c>
      <c r="H19" s="1098">
        <v>4</v>
      </c>
      <c r="I19" s="1098" t="s">
        <v>46</v>
      </c>
      <c r="J19" s="1097" t="s">
        <v>597</v>
      </c>
      <c r="K19" s="1098" t="s">
        <v>598</v>
      </c>
      <c r="L19" s="1097"/>
      <c r="M19" s="1097"/>
      <c r="N19" s="1097"/>
      <c r="O19" s="1097"/>
      <c r="P19" s="1097"/>
      <c r="Q19" s="1097"/>
      <c r="R19" s="1097"/>
      <c r="S19" s="1097"/>
      <c r="T19" s="1097"/>
      <c r="U19" s="1097"/>
      <c r="V19" s="1097"/>
      <c r="W19" s="1097"/>
      <c r="X19" s="1097"/>
      <c r="Y19" s="1097"/>
      <c r="Z19" s="1097"/>
      <c r="AA19" s="775">
        <f t="shared" si="0"/>
        <v>4.5999999999999996</v>
      </c>
      <c r="AB19" s="766">
        <f t="shared" si="1"/>
        <v>0</v>
      </c>
      <c r="AC19" s="766">
        <f t="shared" si="2"/>
        <v>1</v>
      </c>
    </row>
    <row r="20" spans="1:29" ht="15.75" customHeight="1">
      <c r="A20" s="149" t="s">
        <v>77</v>
      </c>
      <c r="B20" s="150" t="s">
        <v>78</v>
      </c>
      <c r="C20" s="1095">
        <v>5</v>
      </c>
      <c r="D20" s="1095"/>
      <c r="E20" s="1095">
        <v>5</v>
      </c>
      <c r="F20" s="1096">
        <v>5</v>
      </c>
      <c r="G20" s="1095">
        <v>5</v>
      </c>
      <c r="H20" s="1096">
        <v>5</v>
      </c>
      <c r="I20" s="1096" t="s">
        <v>46</v>
      </c>
      <c r="J20" s="1095">
        <v>5</v>
      </c>
      <c r="K20" s="1096">
        <v>4</v>
      </c>
      <c r="L20" s="1095"/>
      <c r="M20" s="1095"/>
      <c r="N20" s="1095"/>
      <c r="O20" s="1095"/>
      <c r="P20" s="1095"/>
      <c r="Q20" s="1095"/>
      <c r="R20" s="1095"/>
      <c r="S20" s="1095"/>
      <c r="T20" s="1095"/>
      <c r="U20" s="1095"/>
      <c r="V20" s="1095"/>
      <c r="W20" s="1095"/>
      <c r="X20" s="1095"/>
      <c r="Y20" s="1095"/>
      <c r="Z20" s="1095"/>
      <c r="AA20" s="775">
        <f t="shared" si="0"/>
        <v>4.8571428571428568</v>
      </c>
      <c r="AB20" s="766">
        <f t="shared" si="1"/>
        <v>0</v>
      </c>
      <c r="AC20" s="766">
        <f t="shared" si="2"/>
        <v>1</v>
      </c>
    </row>
    <row r="21" spans="1:29" ht="15.75" customHeight="1">
      <c r="A21" s="144" t="s">
        <v>79</v>
      </c>
      <c r="B21" s="137" t="s">
        <v>80</v>
      </c>
      <c r="C21" s="1091" t="s">
        <v>46</v>
      </c>
      <c r="D21" s="1091"/>
      <c r="E21" s="1091">
        <v>5</v>
      </c>
      <c r="F21" s="1092">
        <v>4</v>
      </c>
      <c r="G21" s="1091">
        <v>3</v>
      </c>
      <c r="H21" s="1092">
        <v>3</v>
      </c>
      <c r="I21" s="1092">
        <v>5</v>
      </c>
      <c r="J21" s="1091" t="s">
        <v>46</v>
      </c>
      <c r="K21" s="1092">
        <v>2</v>
      </c>
      <c r="L21" s="1091"/>
      <c r="M21" s="1091"/>
      <c r="N21" s="1091"/>
      <c r="O21" s="1091"/>
      <c r="P21" s="1091"/>
      <c r="Q21" s="1091"/>
      <c r="R21" s="1091"/>
      <c r="S21" s="1091"/>
      <c r="T21" s="1091"/>
      <c r="U21" s="1091"/>
      <c r="V21" s="1091"/>
      <c r="W21" s="1091"/>
      <c r="X21" s="1091"/>
      <c r="Y21" s="1091"/>
      <c r="Z21" s="1091"/>
      <c r="AA21" s="775">
        <f t="shared" si="0"/>
        <v>3.6666666666666665</v>
      </c>
      <c r="AB21" s="766">
        <f t="shared" si="1"/>
        <v>0</v>
      </c>
      <c r="AC21" s="766">
        <f t="shared" si="2"/>
        <v>2</v>
      </c>
    </row>
    <row r="22" spans="1:29" ht="15.75" customHeight="1">
      <c r="A22" s="144" t="s">
        <v>81</v>
      </c>
      <c r="B22" s="137" t="s">
        <v>82</v>
      </c>
      <c r="C22" s="1091">
        <v>5</v>
      </c>
      <c r="D22" s="1091"/>
      <c r="E22" s="1091">
        <v>5</v>
      </c>
      <c r="F22" s="1092" t="s">
        <v>46</v>
      </c>
      <c r="G22" s="1091" t="s">
        <v>46</v>
      </c>
      <c r="H22" s="1092">
        <v>5</v>
      </c>
      <c r="I22" s="1092">
        <v>4</v>
      </c>
      <c r="J22" s="1091">
        <v>5</v>
      </c>
      <c r="K22" s="1092" t="s">
        <v>46</v>
      </c>
      <c r="L22" s="1091"/>
      <c r="M22" s="1091"/>
      <c r="N22" s="1091"/>
      <c r="O22" s="1091"/>
      <c r="P22" s="1091"/>
      <c r="Q22" s="1091"/>
      <c r="R22" s="1091"/>
      <c r="S22" s="1091"/>
      <c r="T22" s="1091"/>
      <c r="U22" s="1091"/>
      <c r="V22" s="1091"/>
      <c r="W22" s="1091"/>
      <c r="X22" s="1091"/>
      <c r="Y22" s="1091"/>
      <c r="Z22" s="1091"/>
      <c r="AA22" s="775">
        <f t="shared" si="0"/>
        <v>4.8</v>
      </c>
      <c r="AB22" s="766">
        <f t="shared" si="1"/>
        <v>0</v>
      </c>
      <c r="AC22" s="766">
        <f t="shared" si="2"/>
        <v>3</v>
      </c>
    </row>
    <row r="23" spans="1:29" ht="15.75" customHeight="1">
      <c r="A23" s="144" t="s">
        <v>83</v>
      </c>
      <c r="B23" s="150" t="s">
        <v>84</v>
      </c>
      <c r="C23" s="1095" t="s">
        <v>46</v>
      </c>
      <c r="D23" s="1095" t="s">
        <v>46</v>
      </c>
      <c r="E23" s="1095" t="s">
        <v>46</v>
      </c>
      <c r="F23" s="1096">
        <v>5</v>
      </c>
      <c r="G23" s="1095" t="s">
        <v>46</v>
      </c>
      <c r="H23" s="1096">
        <v>4</v>
      </c>
      <c r="I23" s="1096" t="s">
        <v>46</v>
      </c>
      <c r="J23" s="1095" t="s">
        <v>46</v>
      </c>
      <c r="K23" s="1096" t="s">
        <v>46</v>
      </c>
      <c r="L23" s="70" t="s">
        <v>48</v>
      </c>
      <c r="M23" s="70" t="s">
        <v>48</v>
      </c>
      <c r="N23" s="1095"/>
      <c r="O23" s="1095"/>
      <c r="P23" s="1095"/>
      <c r="Q23" s="1095"/>
      <c r="R23" s="1095"/>
      <c r="S23" s="1095"/>
      <c r="T23" s="1095"/>
      <c r="U23" s="1095"/>
      <c r="V23" s="1095"/>
      <c r="W23" s="1095"/>
      <c r="X23" s="1095"/>
      <c r="Y23" s="1095"/>
      <c r="Z23" s="1095"/>
      <c r="AA23" s="775">
        <f t="shared" si="0"/>
        <v>4.5</v>
      </c>
      <c r="AB23" s="766">
        <f t="shared" si="1"/>
        <v>2</v>
      </c>
      <c r="AC23" s="766">
        <f t="shared" si="2"/>
        <v>7</v>
      </c>
    </row>
    <row r="24" spans="1:29" ht="15.75" customHeight="1">
      <c r="A24" s="154" t="s">
        <v>27</v>
      </c>
      <c r="B24" s="151" t="s">
        <v>85</v>
      </c>
      <c r="C24" s="1097">
        <v>5</v>
      </c>
      <c r="D24" s="1097"/>
      <c r="E24" s="1097">
        <v>5</v>
      </c>
      <c r="F24" s="1098">
        <v>5</v>
      </c>
      <c r="G24" s="1097" t="s">
        <v>413</v>
      </c>
      <c r="H24" s="1098">
        <v>5</v>
      </c>
      <c r="I24" s="1098">
        <v>5</v>
      </c>
      <c r="J24" s="1097">
        <v>5</v>
      </c>
      <c r="K24" s="1098">
        <v>3</v>
      </c>
      <c r="L24" s="1097"/>
      <c r="M24" s="1097"/>
      <c r="N24" s="1097"/>
      <c r="O24" s="1097"/>
      <c r="P24" s="1097"/>
      <c r="Q24" s="1097"/>
      <c r="R24" s="1097"/>
      <c r="S24" s="1097"/>
      <c r="T24" s="1097"/>
      <c r="U24" s="1097"/>
      <c r="V24" s="1097"/>
      <c r="W24" s="1097"/>
      <c r="X24" s="1097"/>
      <c r="Y24" s="1097"/>
      <c r="Z24" s="1097"/>
      <c r="AA24" s="775">
        <f t="shared" si="0"/>
        <v>4.7142857142857144</v>
      </c>
      <c r="AB24" s="766">
        <f t="shared" si="1"/>
        <v>0</v>
      </c>
      <c r="AC24" s="766">
        <f t="shared" si="2"/>
        <v>0</v>
      </c>
    </row>
    <row r="25" spans="1:29" ht="15.75" customHeight="1">
      <c r="A25" s="156" t="s">
        <v>86</v>
      </c>
      <c r="B25" s="150" t="s">
        <v>87</v>
      </c>
      <c r="C25" s="1095" t="s">
        <v>46</v>
      </c>
      <c r="D25" s="1095"/>
      <c r="E25" s="1095" t="s">
        <v>46</v>
      </c>
      <c r="F25" s="1096" t="s">
        <v>46</v>
      </c>
      <c r="G25" s="1095">
        <v>4</v>
      </c>
      <c r="H25" s="1096">
        <v>4</v>
      </c>
      <c r="I25" s="1096">
        <v>5</v>
      </c>
      <c r="J25" s="1095" t="s">
        <v>46</v>
      </c>
      <c r="K25" s="1096">
        <v>3</v>
      </c>
      <c r="L25" s="1095"/>
      <c r="M25" s="1095"/>
      <c r="N25" s="1095"/>
      <c r="O25" s="1095"/>
      <c r="P25" s="1095"/>
      <c r="Q25" s="1095"/>
      <c r="R25" s="1095"/>
      <c r="S25" s="1095"/>
      <c r="T25" s="1095"/>
      <c r="U25" s="1095"/>
      <c r="V25" s="1095"/>
      <c r="W25" s="1095"/>
      <c r="X25" s="1095"/>
      <c r="Y25" s="1095"/>
      <c r="Z25" s="1095"/>
      <c r="AA25" s="775">
        <f t="shared" si="0"/>
        <v>4</v>
      </c>
      <c r="AB25" s="766">
        <f t="shared" si="1"/>
        <v>0</v>
      </c>
      <c r="AC25" s="766">
        <f t="shared" si="2"/>
        <v>4</v>
      </c>
    </row>
    <row r="26" spans="1:29" ht="15.75" hidden="1" customHeight="1">
      <c r="A26" s="139" t="s">
        <v>86</v>
      </c>
      <c r="B26" s="1099" t="s">
        <v>88</v>
      </c>
      <c r="C26" s="1100"/>
      <c r="D26" s="1100"/>
      <c r="E26" s="1100"/>
      <c r="F26" s="1092"/>
      <c r="G26" s="1100"/>
      <c r="H26" s="1092"/>
      <c r="I26" s="1092"/>
      <c r="J26" s="1100"/>
      <c r="K26" s="1092"/>
      <c r="L26" s="1100"/>
      <c r="M26" s="1100"/>
      <c r="N26" s="1100"/>
      <c r="O26" s="1100"/>
      <c r="P26" s="1100"/>
      <c r="Q26" s="1100"/>
      <c r="R26" s="1100"/>
      <c r="S26" s="1100"/>
      <c r="T26" s="1100"/>
      <c r="U26" s="1100"/>
      <c r="V26" s="1100"/>
      <c r="W26" s="1100"/>
      <c r="X26" s="1100"/>
      <c r="Y26" s="1100"/>
      <c r="Z26" s="1100"/>
      <c r="AA26" s="1101" t="str">
        <f t="shared" si="0"/>
        <v>Нет оценок</v>
      </c>
      <c r="AB26" s="1102">
        <f t="shared" si="1"/>
        <v>0</v>
      </c>
      <c r="AC26" s="1102">
        <f t="shared" si="2"/>
        <v>0</v>
      </c>
    </row>
    <row r="27" spans="1:29" ht="15.75" customHeight="1">
      <c r="A27" s="139" t="s">
        <v>89</v>
      </c>
      <c r="B27" s="137" t="s">
        <v>90</v>
      </c>
      <c r="C27" s="1103" t="s">
        <v>46</v>
      </c>
      <c r="D27" s="1103"/>
      <c r="E27" s="1103">
        <v>4</v>
      </c>
      <c r="F27" s="1104">
        <v>5</v>
      </c>
      <c r="G27" s="1103" t="s">
        <v>46</v>
      </c>
      <c r="H27" s="1104">
        <v>4</v>
      </c>
      <c r="I27" s="1104">
        <v>3</v>
      </c>
      <c r="J27" s="1103" t="s">
        <v>46</v>
      </c>
      <c r="K27" s="1104">
        <v>2</v>
      </c>
      <c r="L27" s="1103"/>
      <c r="M27" s="1103"/>
      <c r="N27" s="1103"/>
      <c r="O27" s="1103"/>
      <c r="P27" s="1103"/>
      <c r="Q27" s="1103"/>
      <c r="R27" s="1103"/>
      <c r="S27" s="1103"/>
      <c r="T27" s="1103"/>
      <c r="U27" s="1103"/>
      <c r="V27" s="1103"/>
      <c r="W27" s="1103"/>
      <c r="X27" s="1103"/>
      <c r="Y27" s="1103"/>
      <c r="Z27" s="1103"/>
      <c r="AA27" s="775">
        <f t="shared" si="0"/>
        <v>3.6</v>
      </c>
      <c r="AB27" s="766">
        <f t="shared" si="1"/>
        <v>0</v>
      </c>
      <c r="AC27" s="766">
        <f t="shared" si="2"/>
        <v>3</v>
      </c>
    </row>
    <row r="28" spans="1:29" ht="15.75" customHeight="1">
      <c r="A28" s="139" t="s">
        <v>91</v>
      </c>
      <c r="B28" s="137" t="s">
        <v>92</v>
      </c>
      <c r="C28" s="1091" t="s">
        <v>46</v>
      </c>
      <c r="D28" s="1105"/>
      <c r="E28" s="1105" t="s">
        <v>46</v>
      </c>
      <c r="F28" s="1106">
        <v>5</v>
      </c>
      <c r="G28" s="1105" t="s">
        <v>46</v>
      </c>
      <c r="H28" s="1106">
        <v>4</v>
      </c>
      <c r="I28" s="1106" t="s">
        <v>46</v>
      </c>
      <c r="J28" s="1105" t="s">
        <v>46</v>
      </c>
      <c r="K28" s="1106">
        <v>3</v>
      </c>
      <c r="L28" s="1105"/>
      <c r="M28" s="1105"/>
      <c r="N28" s="1105"/>
      <c r="O28" s="1105"/>
      <c r="P28" s="1105"/>
      <c r="Q28" s="1105"/>
      <c r="R28" s="1105"/>
      <c r="S28" s="1105"/>
      <c r="T28" s="1105"/>
      <c r="U28" s="1105"/>
      <c r="V28" s="1105"/>
      <c r="W28" s="1105"/>
      <c r="X28" s="1105"/>
      <c r="Y28" s="1105"/>
      <c r="Z28" s="1105"/>
      <c r="AA28" s="1107">
        <f t="shared" si="0"/>
        <v>4</v>
      </c>
      <c r="AB28" s="766">
        <f t="shared" si="1"/>
        <v>0</v>
      </c>
      <c r="AC28" s="766">
        <f t="shared" si="2"/>
        <v>5</v>
      </c>
    </row>
    <row r="29" spans="1:29" ht="15.75">
      <c r="A29" s="1108" t="s">
        <v>93</v>
      </c>
      <c r="B29" s="1108" t="s">
        <v>94</v>
      </c>
      <c r="AA29" s="1109">
        <f>IFERROR(AVERAGE(AA5:AA28),"")</f>
        <v>4.1859730848861281</v>
      </c>
      <c r="AB29" s="1110">
        <f>SUM(AB5:AB28)</f>
        <v>2</v>
      </c>
      <c r="AC29" s="1110">
        <f>SUM(AC5:AC28)</f>
        <v>52</v>
      </c>
    </row>
    <row r="30" spans="1:29" ht="47.25">
      <c r="A30" s="1111">
        <v>46035</v>
      </c>
      <c r="B30" s="1112" t="s">
        <v>599</v>
      </c>
      <c r="C30" s="1113" t="s">
        <v>234</v>
      </c>
      <c r="F30" s="1432" t="s">
        <v>419</v>
      </c>
      <c r="G30" s="1433"/>
      <c r="H30" s="1434"/>
      <c r="I30" s="1435" t="s">
        <v>420</v>
      </c>
      <c r="J30" s="1436"/>
      <c r="K30" s="1437"/>
      <c r="L30" s="1438" t="s">
        <v>421</v>
      </c>
      <c r="M30" s="1439"/>
      <c r="N30" s="1440"/>
    </row>
    <row r="31" spans="1:29" ht="47.25">
      <c r="A31" s="1111">
        <v>46039</v>
      </c>
      <c r="B31" s="1114" t="s">
        <v>600</v>
      </c>
      <c r="C31" s="1113" t="s">
        <v>234</v>
      </c>
      <c r="F31" s="1115"/>
      <c r="G31" s="1115" t="s">
        <v>324</v>
      </c>
      <c r="H31" s="1115" t="s">
        <v>325</v>
      </c>
      <c r="I31" s="1116"/>
      <c r="J31" s="1116" t="s">
        <v>324</v>
      </c>
      <c r="K31" s="1116" t="s">
        <v>325</v>
      </c>
      <c r="L31" s="1117"/>
      <c r="M31" s="1117" t="s">
        <v>324</v>
      </c>
      <c r="N31" s="1117" t="s">
        <v>325</v>
      </c>
    </row>
    <row r="32" spans="1:29" ht="47.25">
      <c r="A32" s="1111">
        <v>46049</v>
      </c>
      <c r="B32" s="1114" t="s">
        <v>601</v>
      </c>
      <c r="C32" s="1113" t="s">
        <v>234</v>
      </c>
      <c r="F32" s="1115" t="s">
        <v>325</v>
      </c>
      <c r="G32" s="1118">
        <f>G33/2</f>
        <v>11</v>
      </c>
      <c r="H32" s="1118">
        <f>H33/2</f>
        <v>10</v>
      </c>
      <c r="I32" s="1116" t="s">
        <v>325</v>
      </c>
      <c r="J32" s="1007">
        <f>COUNTIF(C30:C99,"Л")</f>
        <v>7</v>
      </c>
      <c r="K32" s="1007">
        <f>COUNTIF(C30:C102,"ПЗ")</f>
        <v>4</v>
      </c>
      <c r="L32" s="1117" t="s">
        <v>325</v>
      </c>
      <c r="M32" s="1119">
        <f t="shared" ref="M32:M33" si="3">G32-J32</f>
        <v>4</v>
      </c>
      <c r="N32" s="1119">
        <f t="shared" ref="N32:N33" si="4">H32-K32</f>
        <v>6</v>
      </c>
    </row>
    <row r="33" spans="1:14" ht="31.5">
      <c r="A33" s="1120">
        <v>46053</v>
      </c>
      <c r="B33" s="1121" t="s">
        <v>602</v>
      </c>
      <c r="C33" s="1106" t="s">
        <v>444</v>
      </c>
      <c r="F33" s="1115" t="s">
        <v>424</v>
      </c>
      <c r="G33" s="1118">
        <v>22</v>
      </c>
      <c r="H33" s="1118">
        <v>20</v>
      </c>
      <c r="I33" s="1116" t="s">
        <v>424</v>
      </c>
      <c r="J33" s="1122">
        <f>J32*2</f>
        <v>14</v>
      </c>
      <c r="K33" s="1122">
        <f>K32*2</f>
        <v>8</v>
      </c>
      <c r="L33" s="1117" t="s">
        <v>424</v>
      </c>
      <c r="M33" s="1119">
        <f t="shared" si="3"/>
        <v>8</v>
      </c>
      <c r="N33" s="1119">
        <f t="shared" si="4"/>
        <v>12</v>
      </c>
    </row>
    <row r="34" spans="1:14" ht="47.25">
      <c r="A34" s="1111">
        <v>46077</v>
      </c>
      <c r="B34" s="1114" t="s">
        <v>603</v>
      </c>
      <c r="C34" s="1113" t="s">
        <v>234</v>
      </c>
    </row>
    <row r="35" spans="1:14" ht="110.25">
      <c r="A35" s="1120">
        <v>46079</v>
      </c>
      <c r="B35" s="1121" t="s">
        <v>604</v>
      </c>
      <c r="C35" s="1106" t="s">
        <v>444</v>
      </c>
    </row>
    <row r="36" spans="1:14" ht="63">
      <c r="A36" s="1120">
        <v>46085</v>
      </c>
      <c r="B36" s="1121" t="s">
        <v>605</v>
      </c>
      <c r="C36" s="1106" t="s">
        <v>444</v>
      </c>
    </row>
    <row r="37" spans="1:14" ht="47.25">
      <c r="A37" s="1111">
        <v>46091</v>
      </c>
      <c r="B37" s="1114" t="s">
        <v>606</v>
      </c>
      <c r="C37" s="1113" t="s">
        <v>234</v>
      </c>
    </row>
    <row r="38" spans="1:14" ht="31.5">
      <c r="A38" s="1120">
        <v>46093</v>
      </c>
      <c r="B38" s="1121" t="s">
        <v>607</v>
      </c>
      <c r="C38" s="1106" t="s">
        <v>444</v>
      </c>
    </row>
    <row r="39" spans="1:14" ht="47.25">
      <c r="A39" s="1111">
        <v>46115</v>
      </c>
      <c r="B39" s="1114" t="s">
        <v>608</v>
      </c>
      <c r="C39" s="1123" t="s">
        <v>234</v>
      </c>
    </row>
    <row r="40" spans="1:14" ht="31.5">
      <c r="A40" s="1111">
        <v>46115</v>
      </c>
      <c r="B40" s="1114" t="s">
        <v>609</v>
      </c>
      <c r="C40" s="1123" t="s">
        <v>234</v>
      </c>
    </row>
    <row r="41" spans="1:14" ht="15.75">
      <c r="A41" s="1045"/>
      <c r="B41" s="1114"/>
      <c r="C41" s="1123"/>
    </row>
    <row r="42" spans="1:14" ht="15.75">
      <c r="A42" s="1045"/>
      <c r="B42" s="1114"/>
      <c r="C42" s="1123"/>
    </row>
    <row r="43" spans="1:14" ht="15.75">
      <c r="A43" s="1045"/>
      <c r="B43" s="1114"/>
      <c r="C43" s="1123"/>
    </row>
    <row r="44" spans="1:14" ht="15.75">
      <c r="A44" s="1045"/>
      <c r="B44" s="1114"/>
      <c r="C44" s="1123"/>
    </row>
    <row r="45" spans="1:14" ht="15.75">
      <c r="A45" s="1045"/>
      <c r="B45" s="1114"/>
      <c r="C45" s="1123"/>
    </row>
    <row r="46" spans="1:14" ht="15.75">
      <c r="A46" s="1045"/>
      <c r="B46" s="1114"/>
      <c r="C46" s="1123"/>
    </row>
    <row r="47" spans="1:14" ht="15.75">
      <c r="A47" s="1045"/>
      <c r="B47" s="1114"/>
      <c r="C47" s="1123"/>
    </row>
    <row r="48" spans="1:14" ht="15.75">
      <c r="A48" s="1045"/>
      <c r="B48" s="1114"/>
      <c r="C48" s="1123"/>
    </row>
    <row r="49" spans="1:3" ht="15.75">
      <c r="A49" s="1045"/>
      <c r="B49" s="1114"/>
      <c r="C49" s="1123"/>
    </row>
    <row r="50" spans="1:3" ht="15.75">
      <c r="A50" s="1045"/>
      <c r="B50" s="1114"/>
      <c r="C50" s="1123"/>
    </row>
    <row r="51" spans="1:3" ht="15.75">
      <c r="A51" s="1045"/>
      <c r="B51" s="1114"/>
      <c r="C51" s="1123"/>
    </row>
    <row r="52" spans="1:3" ht="15.75">
      <c r="A52" s="1045"/>
      <c r="B52" s="1045"/>
      <c r="C52" s="1123"/>
    </row>
    <row r="53" spans="1:3" ht="15.75">
      <c r="A53" s="1045"/>
      <c r="B53" s="1045"/>
      <c r="C53" s="1123"/>
    </row>
    <row r="54" spans="1:3" ht="15.75">
      <c r="A54" s="1045"/>
      <c r="B54" s="1045"/>
      <c r="C54" s="1123"/>
    </row>
    <row r="55" spans="1:3" ht="15.75">
      <c r="A55" s="1045"/>
      <c r="B55" s="1045"/>
      <c r="C55" s="1123"/>
    </row>
    <row r="56" spans="1:3" ht="15.75">
      <c r="A56" s="1045"/>
      <c r="B56" s="1045"/>
      <c r="C56" s="1123"/>
    </row>
    <row r="57" spans="1:3" ht="15.75">
      <c r="A57" s="1045"/>
      <c r="B57" s="1045"/>
      <c r="C57" s="1123"/>
    </row>
    <row r="58" spans="1:3" ht="15.75">
      <c r="A58" s="1045"/>
      <c r="B58" s="1045"/>
      <c r="C58" s="1123"/>
    </row>
    <row r="59" spans="1:3" ht="15.75">
      <c r="A59" s="1045"/>
      <c r="B59" s="1045"/>
      <c r="C59" s="1123"/>
    </row>
    <row r="60" spans="1:3" ht="15.75">
      <c r="A60" s="1045"/>
      <c r="B60" s="1045"/>
      <c r="C60" s="1123"/>
    </row>
    <row r="61" spans="1:3" ht="15.75">
      <c r="A61" s="1045"/>
      <c r="B61" s="1045"/>
      <c r="C61" s="1123"/>
    </row>
    <row r="62" spans="1:3" ht="15.75">
      <c r="A62" s="1045"/>
      <c r="B62" s="1045"/>
      <c r="C62" s="1123"/>
    </row>
    <row r="63" spans="1:3" ht="15.75">
      <c r="A63" s="1045"/>
      <c r="B63" s="1045"/>
      <c r="C63" s="1123"/>
    </row>
    <row r="64" spans="1:3" ht="15.75">
      <c r="A64" s="1045"/>
      <c r="B64" s="1045"/>
      <c r="C64" s="1123"/>
    </row>
    <row r="65" spans="1:3" ht="15.75">
      <c r="A65" s="1045"/>
      <c r="B65" s="1045"/>
      <c r="C65" s="1123"/>
    </row>
    <row r="66" spans="1:3" ht="15.75">
      <c r="A66" s="1045"/>
      <c r="B66" s="1045"/>
      <c r="C66" s="447"/>
    </row>
    <row r="67" spans="1:3" ht="14.25" customHeight="1">
      <c r="A67" s="1124"/>
      <c r="B67" s="1124"/>
    </row>
    <row r="68" spans="1:3" ht="14.25" customHeight="1">
      <c r="A68" s="1124"/>
      <c r="B68" s="1124"/>
    </row>
    <row r="69" spans="1:3" ht="14.25" customHeight="1">
      <c r="A69" s="1124"/>
      <c r="B69" s="1124"/>
    </row>
    <row r="70" spans="1:3" ht="14.25" customHeight="1">
      <c r="A70" s="1124"/>
      <c r="B70" s="1124"/>
    </row>
    <row r="71" spans="1:3" ht="14.25" customHeight="1">
      <c r="A71" s="1124"/>
      <c r="B71" s="1124"/>
    </row>
    <row r="72" spans="1:3" ht="14.25" customHeight="1">
      <c r="A72" s="1124"/>
      <c r="B72" s="1124"/>
    </row>
    <row r="73" spans="1:3" ht="14.25" customHeight="1">
      <c r="A73" s="1124"/>
      <c r="B73" s="1124"/>
    </row>
    <row r="74" spans="1:3" ht="14.25" customHeight="1">
      <c r="A74" s="1124"/>
      <c r="B74" s="1124"/>
    </row>
    <row r="75" spans="1:3" ht="14.25" customHeight="1">
      <c r="A75" s="1124"/>
      <c r="B75" s="1124"/>
    </row>
    <row r="76" spans="1:3" ht="14.25" customHeight="1">
      <c r="A76" s="1124"/>
      <c r="B76" s="1124"/>
    </row>
    <row r="77" spans="1:3" ht="14.25" customHeight="1">
      <c r="A77" s="1124"/>
      <c r="B77" s="1124"/>
    </row>
    <row r="78" spans="1:3" ht="14.25" customHeight="1">
      <c r="A78" s="1124"/>
      <c r="B78" s="1124"/>
    </row>
    <row r="79" spans="1:3" ht="14.25" customHeight="1">
      <c r="A79" s="1124"/>
      <c r="B79" s="1124"/>
    </row>
    <row r="80" spans="1:3" ht="14.25" customHeight="1">
      <c r="A80" s="1124"/>
      <c r="B80" s="1124"/>
    </row>
    <row r="81" spans="1:2" ht="14.25" customHeight="1">
      <c r="A81" s="1124"/>
      <c r="B81" s="1124"/>
    </row>
    <row r="82" spans="1:2" ht="14.25" customHeight="1">
      <c r="A82" s="1124"/>
      <c r="B82" s="1124"/>
    </row>
    <row r="83" spans="1:2" ht="14.25" customHeight="1">
      <c r="A83" s="1124"/>
      <c r="B83" s="1124"/>
    </row>
    <row r="84" spans="1:2" ht="14.25" customHeight="1">
      <c r="A84" s="1124"/>
      <c r="B84" s="1124"/>
    </row>
    <row r="85" spans="1:2" ht="14.25" customHeight="1">
      <c r="A85" s="1124"/>
      <c r="B85" s="1124"/>
    </row>
    <row r="86" spans="1:2" ht="14.25" customHeight="1">
      <c r="A86" s="1124"/>
      <c r="B86" s="1124"/>
    </row>
    <row r="87" spans="1:2" ht="14.25" customHeight="1">
      <c r="A87" s="1124"/>
      <c r="B87" s="1124"/>
    </row>
    <row r="88" spans="1:2" ht="14.25" customHeight="1">
      <c r="A88" s="1124"/>
      <c r="B88" s="1124"/>
    </row>
    <row r="89" spans="1:2" ht="14.25" customHeight="1">
      <c r="A89" s="1124"/>
      <c r="B89" s="1124"/>
    </row>
    <row r="90" spans="1:2" ht="14.25" customHeight="1">
      <c r="A90" s="1124"/>
      <c r="B90" s="1124"/>
    </row>
    <row r="91" spans="1:2" ht="14.25" customHeight="1">
      <c r="A91" s="1124"/>
      <c r="B91" s="1124"/>
    </row>
    <row r="92" spans="1:2" ht="14.25" customHeight="1">
      <c r="A92" s="1124"/>
      <c r="B92" s="1124"/>
    </row>
    <row r="93" spans="1:2" ht="14.25" customHeight="1">
      <c r="A93" s="1124"/>
      <c r="B93" s="1124"/>
    </row>
    <row r="94" spans="1:2" ht="14.25" customHeight="1">
      <c r="A94" s="1124"/>
      <c r="B94" s="1124"/>
    </row>
    <row r="95" spans="1:2" ht="14.25" customHeight="1">
      <c r="A95" s="1124"/>
      <c r="B95" s="1124"/>
    </row>
    <row r="96" spans="1:2" ht="14.25" customHeight="1">
      <c r="A96" s="1124"/>
      <c r="B96" s="1124"/>
    </row>
    <row r="97" spans="1:2" ht="14.25" customHeight="1">
      <c r="A97" s="1124"/>
      <c r="B97" s="1124"/>
    </row>
    <row r="98" spans="1:2" ht="14.25" customHeight="1">
      <c r="A98" s="1124"/>
      <c r="B98" s="1124"/>
    </row>
    <row r="99" spans="1:2" ht="14.25" customHeight="1">
      <c r="A99" s="1124"/>
      <c r="B99" s="1124"/>
    </row>
    <row r="100" spans="1:2" ht="14.25" customHeight="1">
      <c r="A100" s="1124"/>
      <c r="B100" s="1124"/>
    </row>
    <row r="101" spans="1:2" ht="14.25" customHeight="1">
      <c r="A101" s="1124"/>
      <c r="B101" s="1124"/>
    </row>
    <row r="102" spans="1:2" ht="14.25" customHeight="1">
      <c r="A102" s="1124"/>
      <c r="B102" s="1124"/>
    </row>
    <row r="103" spans="1:2" ht="14.25" customHeight="1">
      <c r="A103" s="1124"/>
      <c r="B103" s="1124"/>
    </row>
    <row r="104" spans="1:2" ht="14.25" customHeight="1">
      <c r="A104" s="1124"/>
      <c r="B104" s="1124"/>
    </row>
    <row r="105" spans="1:2" ht="14.25" customHeight="1">
      <c r="A105" s="1124"/>
      <c r="B105" s="1124"/>
    </row>
    <row r="106" spans="1:2" ht="14.25" customHeight="1">
      <c r="A106" s="1124"/>
      <c r="B106" s="1124"/>
    </row>
    <row r="107" spans="1:2" ht="14.25" customHeight="1">
      <c r="A107" s="1124"/>
      <c r="B107" s="1124"/>
    </row>
    <row r="108" spans="1:2" ht="14.25" customHeight="1">
      <c r="A108" s="1124"/>
      <c r="B108" s="1124"/>
    </row>
    <row r="109" spans="1:2" ht="14.25" customHeight="1">
      <c r="A109" s="1124"/>
      <c r="B109" s="1124"/>
    </row>
    <row r="110" spans="1:2" ht="14.25" customHeight="1">
      <c r="A110" s="1124"/>
      <c r="B110" s="1124"/>
    </row>
    <row r="111" spans="1:2" ht="14.25" customHeight="1">
      <c r="A111" s="1124"/>
      <c r="B111" s="1124"/>
    </row>
    <row r="112" spans="1:2" ht="14.25" customHeight="1">
      <c r="A112" s="1124"/>
      <c r="B112" s="1124"/>
    </row>
  </sheetData>
  <mergeCells count="13">
    <mergeCell ref="AB3:AC3"/>
    <mergeCell ref="F30:H30"/>
    <mergeCell ref="I30:K30"/>
    <mergeCell ref="L30:N30"/>
    <mergeCell ref="A1:B1"/>
    <mergeCell ref="C1:Z1"/>
    <mergeCell ref="A2:B2"/>
    <mergeCell ref="C2:Z2"/>
    <mergeCell ref="A3:A4"/>
    <mergeCell ref="C3:F3"/>
    <mergeCell ref="G3:H3"/>
    <mergeCell ref="I3:K3"/>
    <mergeCell ref="L3:P3"/>
  </mergeCells>
  <conditionalFormatting sqref="AC5:AC28">
    <cfRule type="cellIs" dxfId="21" priority="5" operator="greaterThan">
      <formula>0</formula>
    </cfRule>
  </conditionalFormatting>
  <conditionalFormatting sqref="AA5:AA29">
    <cfRule type="cellIs" dxfId="20" priority="4" operator="lessThan">
      <formula>3</formula>
    </cfRule>
  </conditionalFormatting>
  <conditionalFormatting sqref="C5:K28 O5:Z28 C29:Z29 L5:L28 N5:N28 M5:M28">
    <cfRule type="cellIs" dxfId="19" priority="3" operator="equal">
      <formula>"н"</formula>
    </cfRule>
  </conditionalFormatting>
  <conditionalFormatting sqref="C5:K28 O5:Z28 C29:Z29 L5:L28 N5:N28 M5:M28">
    <cfRule type="cellIs" dxfId="18" priority="2" operator="equal">
      <formula>"н/у"</formula>
    </cfRule>
  </conditionalFormatting>
  <conditionalFormatting sqref="C5:K28 O5:Z28 L5:L28 N5:N28 M5:M28">
    <cfRule type="cellIs" dxfId="17" priority="1" operator="equal">
      <formula>2</formula>
    </cfRule>
  </conditionalFormatting>
  <pageMargins left="0.70078740157480324" right="0.70078740157480324" top="0.75196850393700787" bottom="0.75196850393700787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D00FF"/>
  </sheetPr>
  <dimension ref="A1:AB94"/>
  <sheetViews>
    <sheetView workbookViewId="0">
      <selection activeCell="AE7" sqref="AE7"/>
    </sheetView>
  </sheetViews>
  <sheetFormatPr defaultRowHeight="15.75"/>
  <cols>
    <col min="1" max="1" width="7.77734375" style="1125" customWidth="1"/>
    <col min="2" max="2" width="34.44140625" style="1125" customWidth="1"/>
    <col min="3" max="3" width="2.88671875" style="1126" customWidth="1"/>
    <col min="4" max="25" width="2.88671875" style="1" customWidth="1"/>
    <col min="26" max="28" width="9.77734375" style="1124" customWidth="1"/>
    <col min="29" max="16384" width="8.88671875" style="1"/>
  </cols>
  <sheetData>
    <row r="1" spans="1:28" ht="24.75" customHeight="1">
      <c r="A1" s="1441" t="s">
        <v>38</v>
      </c>
      <c r="B1" s="1441"/>
      <c r="C1" s="1419" t="s">
        <v>610</v>
      </c>
      <c r="D1" s="1419"/>
      <c r="E1" s="1419"/>
      <c r="F1" s="1419"/>
      <c r="G1" s="1419"/>
      <c r="H1" s="1419"/>
      <c r="I1" s="1419"/>
      <c r="J1" s="1419"/>
      <c r="K1" s="1419"/>
      <c r="L1" s="1419"/>
      <c r="M1" s="1419"/>
      <c r="N1" s="1419"/>
      <c r="O1" s="1419"/>
      <c r="P1" s="1419"/>
      <c r="Q1" s="1419"/>
      <c r="R1" s="1419"/>
      <c r="S1" s="1419"/>
      <c r="T1" s="1419"/>
      <c r="U1" s="1419"/>
      <c r="V1" s="1419"/>
      <c r="W1" s="1419"/>
      <c r="X1" s="1419"/>
      <c r="Y1" s="1419"/>
    </row>
    <row r="2" spans="1:28" ht="24.75" customHeight="1">
      <c r="A2" s="1441" t="s">
        <v>39</v>
      </c>
      <c r="B2" s="1441"/>
      <c r="C2" s="1419" t="s">
        <v>412</v>
      </c>
      <c r="D2" s="1419"/>
      <c r="E2" s="1419"/>
      <c r="F2" s="1419"/>
      <c r="G2" s="1419"/>
      <c r="H2" s="1419"/>
      <c r="I2" s="1419"/>
      <c r="J2" s="1419"/>
      <c r="K2" s="1419"/>
      <c r="L2" s="1419"/>
      <c r="M2" s="1419"/>
      <c r="N2" s="1419"/>
      <c r="O2" s="1419"/>
      <c r="P2" s="1419"/>
      <c r="Q2" s="1419"/>
      <c r="R2" s="1419"/>
      <c r="S2" s="1419"/>
      <c r="T2" s="1419"/>
      <c r="U2" s="1419"/>
      <c r="V2" s="1419"/>
      <c r="W2" s="1419"/>
      <c r="X2" s="1419"/>
      <c r="Y2" s="1419"/>
      <c r="Z2" s="1127"/>
      <c r="AA2" s="1127"/>
      <c r="AB2" s="1127"/>
    </row>
    <row r="3" spans="1:28">
      <c r="A3" s="1420" t="s">
        <v>41</v>
      </c>
      <c r="B3" s="1128" t="s">
        <v>42</v>
      </c>
      <c r="C3" s="1443" t="s">
        <v>150</v>
      </c>
      <c r="D3" s="1444"/>
      <c r="E3" s="1444"/>
      <c r="F3" s="1444" t="s">
        <v>456</v>
      </c>
      <c r="G3" s="1444"/>
      <c r="H3" s="1444"/>
      <c r="I3" s="1445" t="s">
        <v>153</v>
      </c>
      <c r="J3" s="1446"/>
      <c r="K3" s="1447"/>
      <c r="L3" s="916"/>
      <c r="M3" s="916"/>
      <c r="N3" s="916"/>
      <c r="O3" s="916"/>
      <c r="P3" s="916"/>
      <c r="Q3" s="916"/>
      <c r="R3" s="916"/>
      <c r="S3" s="916"/>
      <c r="T3" s="916"/>
      <c r="U3" s="916"/>
      <c r="V3" s="916"/>
      <c r="W3" s="916"/>
      <c r="X3" s="916"/>
      <c r="Y3" s="916"/>
      <c r="Z3" s="1129"/>
      <c r="AA3" s="1448" t="s">
        <v>0</v>
      </c>
      <c r="AB3" s="1449"/>
    </row>
    <row r="4" spans="1:28" ht="16.5" customHeight="1">
      <c r="A4" s="1442"/>
      <c r="B4" s="1130" t="s">
        <v>43</v>
      </c>
      <c r="C4" s="1131">
        <v>22</v>
      </c>
      <c r="D4" s="1132">
        <v>22</v>
      </c>
      <c r="E4" s="1086">
        <v>16</v>
      </c>
      <c r="F4" s="1087">
        <v>5</v>
      </c>
      <c r="G4" s="1086">
        <v>5</v>
      </c>
      <c r="H4" s="1087">
        <v>30</v>
      </c>
      <c r="I4" s="1086">
        <v>2</v>
      </c>
      <c r="J4" s="1085"/>
      <c r="K4" s="1085"/>
      <c r="L4" s="1085"/>
      <c r="M4" s="1085"/>
      <c r="N4" s="1085"/>
      <c r="O4" s="1085"/>
      <c r="P4" s="1085"/>
      <c r="Q4" s="1085"/>
      <c r="R4" s="1085"/>
      <c r="S4" s="1085"/>
      <c r="T4" s="1085"/>
      <c r="U4" s="1085"/>
      <c r="V4" s="1085"/>
      <c r="W4" s="1085"/>
      <c r="X4" s="1085"/>
      <c r="Y4" s="1085"/>
      <c r="Z4" s="1129" t="s">
        <v>33</v>
      </c>
      <c r="AA4" s="754" t="s">
        <v>5</v>
      </c>
      <c r="AB4" s="754" t="s">
        <v>6</v>
      </c>
    </row>
    <row r="5" spans="1:28" ht="15.75" customHeight="1">
      <c r="A5" s="136" t="s">
        <v>44</v>
      </c>
      <c r="B5" s="1133" t="s">
        <v>50</v>
      </c>
      <c r="C5" s="1089" t="s">
        <v>46</v>
      </c>
      <c r="D5" s="1090" t="s">
        <v>46</v>
      </c>
      <c r="E5" s="1089"/>
      <c r="F5" s="1090" t="s">
        <v>46</v>
      </c>
      <c r="G5" s="1089" t="s">
        <v>46</v>
      </c>
      <c r="H5" s="1090">
        <v>5</v>
      </c>
      <c r="I5" s="1089" t="s">
        <v>37</v>
      </c>
      <c r="J5" s="1089"/>
      <c r="K5" s="1089"/>
      <c r="L5" s="1089"/>
      <c r="M5" s="1089"/>
      <c r="N5" s="1089"/>
      <c r="O5" s="1089"/>
      <c r="P5" s="1089"/>
      <c r="Q5" s="1089"/>
      <c r="R5" s="1089"/>
      <c r="S5" s="1089"/>
      <c r="T5" s="1089"/>
      <c r="U5" s="1089"/>
      <c r="V5" s="1089"/>
      <c r="W5" s="1089"/>
      <c r="X5" s="1089"/>
      <c r="Y5" s="1089"/>
      <c r="Z5" s="1134">
        <f t="shared" ref="Z5:Z9" si="0">IFERROR(AVERAGE(C5:Y5),"Нет оценок")</f>
        <v>5</v>
      </c>
      <c r="AA5" s="1135">
        <f t="shared" ref="AA5:AA9" si="1">COUNTIF(C5:Y5,"н/у")</f>
        <v>0</v>
      </c>
      <c r="AB5" s="1135">
        <f t="shared" ref="AB5:AB9" si="2">COUNTIF(C5:Y5,"н")</f>
        <v>4</v>
      </c>
    </row>
    <row r="6" spans="1:28" ht="15.75" customHeight="1">
      <c r="A6" s="139" t="s">
        <v>49</v>
      </c>
      <c r="B6" s="137" t="s">
        <v>45</v>
      </c>
      <c r="C6" s="1091" t="s">
        <v>46</v>
      </c>
      <c r="D6" s="1092" t="s">
        <v>46</v>
      </c>
      <c r="E6" s="1091" t="s">
        <v>46</v>
      </c>
      <c r="F6" s="1092" t="s">
        <v>46</v>
      </c>
      <c r="G6" s="1091" t="s">
        <v>46</v>
      </c>
      <c r="H6" s="1092" t="s">
        <v>46</v>
      </c>
      <c r="I6" s="1091" t="s">
        <v>46</v>
      </c>
      <c r="J6" s="1091"/>
      <c r="K6" s="1091"/>
      <c r="L6" s="1091"/>
      <c r="M6" s="1091"/>
      <c r="N6" s="1091"/>
      <c r="O6" s="1091"/>
      <c r="P6" s="1091"/>
      <c r="Q6" s="1091"/>
      <c r="R6" s="1091"/>
      <c r="S6" s="1091"/>
      <c r="T6" s="1091"/>
      <c r="U6" s="1091"/>
      <c r="V6" s="1091"/>
      <c r="W6" s="1091"/>
      <c r="X6" s="1091"/>
      <c r="Y6" s="1091"/>
      <c r="Z6" s="1134" t="str">
        <f t="shared" si="0"/>
        <v>Нет оценок</v>
      </c>
      <c r="AA6" s="1135">
        <f t="shared" si="1"/>
        <v>0</v>
      </c>
      <c r="AB6" s="1135">
        <f t="shared" si="2"/>
        <v>7</v>
      </c>
    </row>
    <row r="7" spans="1:28" ht="15.75" customHeight="1">
      <c r="A7" s="204" t="s">
        <v>51</v>
      </c>
      <c r="B7" s="137" t="s">
        <v>52</v>
      </c>
      <c r="C7" s="1091">
        <v>5</v>
      </c>
      <c r="D7" s="1092">
        <v>5</v>
      </c>
      <c r="E7" s="1091"/>
      <c r="F7" s="1092">
        <v>5</v>
      </c>
      <c r="G7" s="1091" t="s">
        <v>37</v>
      </c>
      <c r="H7" s="1092">
        <v>5</v>
      </c>
      <c r="I7" s="1091" t="s">
        <v>37</v>
      </c>
      <c r="J7" s="1091"/>
      <c r="K7" s="1091"/>
      <c r="L7" s="1091"/>
      <c r="M7" s="1091"/>
      <c r="N7" s="1091"/>
      <c r="O7" s="1091"/>
      <c r="P7" s="1091"/>
      <c r="Q7" s="1091"/>
      <c r="R7" s="1091"/>
      <c r="S7" s="1091"/>
      <c r="T7" s="1091"/>
      <c r="U7" s="1091"/>
      <c r="V7" s="1091"/>
      <c r="W7" s="1091"/>
      <c r="X7" s="1091"/>
      <c r="Y7" s="1091"/>
      <c r="Z7" s="1134">
        <f t="shared" si="0"/>
        <v>5</v>
      </c>
      <c r="AA7" s="1135">
        <f t="shared" si="1"/>
        <v>0</v>
      </c>
      <c r="AB7" s="1135">
        <f t="shared" si="2"/>
        <v>0</v>
      </c>
    </row>
    <row r="8" spans="1:28" ht="15.75" customHeight="1">
      <c r="A8" s="144" t="s">
        <v>53</v>
      </c>
      <c r="B8" s="137" t="s">
        <v>54</v>
      </c>
      <c r="C8" s="1091">
        <v>5</v>
      </c>
      <c r="D8" s="1092">
        <v>5</v>
      </c>
      <c r="E8" s="1091"/>
      <c r="F8" s="1092"/>
      <c r="G8" s="1091" t="s">
        <v>37</v>
      </c>
      <c r="H8" s="1092">
        <v>5</v>
      </c>
      <c r="I8" s="1091" t="s">
        <v>37</v>
      </c>
      <c r="J8" s="1091"/>
      <c r="K8" s="1091"/>
      <c r="L8" s="1091"/>
      <c r="M8" s="1091"/>
      <c r="N8" s="1091"/>
      <c r="O8" s="1091"/>
      <c r="P8" s="1091"/>
      <c r="Q8" s="1091"/>
      <c r="R8" s="1091"/>
      <c r="S8" s="1091"/>
      <c r="T8" s="1091"/>
      <c r="U8" s="1091"/>
      <c r="V8" s="1091"/>
      <c r="W8" s="1091"/>
      <c r="X8" s="1091"/>
      <c r="Y8" s="1091"/>
      <c r="Z8" s="1134">
        <f t="shared" si="0"/>
        <v>5</v>
      </c>
      <c r="AA8" s="1135">
        <f t="shared" si="1"/>
        <v>0</v>
      </c>
      <c r="AB8" s="1135">
        <f t="shared" si="2"/>
        <v>0</v>
      </c>
    </row>
    <row r="9" spans="1:28" ht="15.75" customHeight="1">
      <c r="A9" s="146" t="s">
        <v>55</v>
      </c>
      <c r="B9" s="147" t="s">
        <v>56</v>
      </c>
      <c r="C9" s="1093">
        <v>5</v>
      </c>
      <c r="D9" s="1094">
        <v>4</v>
      </c>
      <c r="E9" s="1093"/>
      <c r="F9" s="1094"/>
      <c r="G9" s="1093" t="s">
        <v>37</v>
      </c>
      <c r="H9" s="1094">
        <v>5</v>
      </c>
      <c r="I9" s="1093" t="s">
        <v>46</v>
      </c>
      <c r="J9" s="1093"/>
      <c r="K9" s="1093"/>
      <c r="L9" s="1093"/>
      <c r="M9" s="1093"/>
      <c r="N9" s="1093"/>
      <c r="O9" s="1093"/>
      <c r="P9" s="1093"/>
      <c r="Q9" s="1093"/>
      <c r="R9" s="1093"/>
      <c r="S9" s="1093"/>
      <c r="T9" s="1093"/>
      <c r="U9" s="1093"/>
      <c r="V9" s="1093"/>
      <c r="W9" s="1093"/>
      <c r="X9" s="1093"/>
      <c r="Y9" s="1093"/>
      <c r="Z9" s="1134">
        <f t="shared" si="0"/>
        <v>4.666666666666667</v>
      </c>
      <c r="AA9" s="1135">
        <f t="shared" si="1"/>
        <v>0</v>
      </c>
      <c r="AB9" s="1135">
        <f t="shared" si="2"/>
        <v>1</v>
      </c>
    </row>
    <row r="10" spans="1:28" ht="15.75" customHeight="1">
      <c r="A10" s="149" t="s">
        <v>57</v>
      </c>
      <c r="B10" s="150" t="s">
        <v>58</v>
      </c>
      <c r="C10" s="1095">
        <v>5</v>
      </c>
      <c r="D10" s="1096">
        <v>5</v>
      </c>
      <c r="E10" s="1095"/>
      <c r="F10" s="1096">
        <v>5</v>
      </c>
      <c r="G10" s="1095" t="s">
        <v>37</v>
      </c>
      <c r="H10" s="1096">
        <v>5</v>
      </c>
      <c r="I10" s="1095" t="s">
        <v>37</v>
      </c>
      <c r="J10" s="1095"/>
      <c r="K10" s="1095"/>
      <c r="L10" s="1095"/>
      <c r="M10" s="1095"/>
      <c r="N10" s="1095"/>
      <c r="O10" s="1095"/>
      <c r="P10" s="1095"/>
      <c r="Q10" s="1095"/>
      <c r="R10" s="1095"/>
      <c r="S10" s="1095"/>
      <c r="T10" s="1095"/>
      <c r="U10" s="1095"/>
      <c r="V10" s="1095"/>
      <c r="W10" s="1095"/>
      <c r="X10" s="1095"/>
      <c r="Y10" s="1095"/>
      <c r="Z10" s="1134">
        <f t="shared" ref="Z10:Z28" si="3">IFERROR(AVERAGE(C10:Y10),"Нет оценок")</f>
        <v>5</v>
      </c>
      <c r="AA10" s="1135">
        <f t="shared" ref="AA10:AA28" si="4">COUNTIF(C10:Y10,"н/у")</f>
        <v>0</v>
      </c>
      <c r="AB10" s="1135">
        <f t="shared" ref="AB10:AB28" si="5">COUNTIF(C10:Y10,"н")</f>
        <v>0</v>
      </c>
    </row>
    <row r="11" spans="1:28" ht="15.75" customHeight="1">
      <c r="A11" s="144" t="s">
        <v>59</v>
      </c>
      <c r="B11" s="137" t="s">
        <v>60</v>
      </c>
      <c r="C11" s="1091">
        <v>5</v>
      </c>
      <c r="D11" s="1092">
        <v>4</v>
      </c>
      <c r="E11" s="1091"/>
      <c r="F11" s="1092"/>
      <c r="G11" s="1091" t="s">
        <v>37</v>
      </c>
      <c r="H11" s="1092">
        <v>5</v>
      </c>
      <c r="I11" s="1091" t="s">
        <v>37</v>
      </c>
      <c r="J11" s="1091"/>
      <c r="K11" s="1091"/>
      <c r="L11" s="1091"/>
      <c r="M11" s="1091"/>
      <c r="N11" s="1091"/>
      <c r="O11" s="1091"/>
      <c r="P11" s="1091"/>
      <c r="Q11" s="1091"/>
      <c r="R11" s="1091"/>
      <c r="S11" s="1091"/>
      <c r="T11" s="1091"/>
      <c r="U11" s="1091"/>
      <c r="V11" s="1091"/>
      <c r="W11" s="1091"/>
      <c r="X11" s="1091"/>
      <c r="Y11" s="1091"/>
      <c r="Z11" s="1134">
        <f t="shared" si="3"/>
        <v>4.666666666666667</v>
      </c>
      <c r="AA11" s="1135">
        <f t="shared" si="4"/>
        <v>0</v>
      </c>
      <c r="AB11" s="1135">
        <f t="shared" si="5"/>
        <v>0</v>
      </c>
    </row>
    <row r="12" spans="1:28" ht="15.75" customHeight="1">
      <c r="A12" s="144" t="s">
        <v>61</v>
      </c>
      <c r="B12" s="137" t="s">
        <v>62</v>
      </c>
      <c r="C12" s="1091">
        <v>2</v>
      </c>
      <c r="D12" s="1092">
        <v>4</v>
      </c>
      <c r="E12" s="1091"/>
      <c r="F12" s="1092"/>
      <c r="G12" s="1091" t="s">
        <v>37</v>
      </c>
      <c r="H12" s="1092">
        <v>2</v>
      </c>
      <c r="I12" s="1091" t="s">
        <v>37</v>
      </c>
      <c r="J12" s="1091"/>
      <c r="K12" s="1091"/>
      <c r="L12" s="1091"/>
      <c r="M12" s="1091"/>
      <c r="N12" s="1091"/>
      <c r="O12" s="1091"/>
      <c r="P12" s="1091"/>
      <c r="Q12" s="1091"/>
      <c r="R12" s="1091"/>
      <c r="S12" s="1091"/>
      <c r="T12" s="1091"/>
      <c r="U12" s="1091"/>
      <c r="V12" s="1091"/>
      <c r="W12" s="1091"/>
      <c r="X12" s="1091"/>
      <c r="Y12" s="1091"/>
      <c r="Z12" s="1134">
        <f t="shared" si="3"/>
        <v>2.6666666666666665</v>
      </c>
      <c r="AA12" s="1135">
        <f t="shared" si="4"/>
        <v>0</v>
      </c>
      <c r="AB12" s="1135">
        <f t="shared" si="5"/>
        <v>0</v>
      </c>
    </row>
    <row r="13" spans="1:28" ht="15.75" customHeight="1">
      <c r="A13" s="144" t="s">
        <v>63</v>
      </c>
      <c r="B13" s="150" t="s">
        <v>64</v>
      </c>
      <c r="C13" s="1095" t="s">
        <v>46</v>
      </c>
      <c r="D13" s="1096" t="s">
        <v>46</v>
      </c>
      <c r="E13" s="1095" t="s">
        <v>46</v>
      </c>
      <c r="F13" s="1096" t="s">
        <v>46</v>
      </c>
      <c r="G13" s="1095" t="s">
        <v>46</v>
      </c>
      <c r="H13" s="1096">
        <v>2</v>
      </c>
      <c r="I13" s="1095" t="s">
        <v>46</v>
      </c>
      <c r="J13" s="1095"/>
      <c r="K13" s="1095"/>
      <c r="L13" s="1095"/>
      <c r="M13" s="1095"/>
      <c r="N13" s="1095"/>
      <c r="O13" s="1095"/>
      <c r="P13" s="1095"/>
      <c r="Q13" s="1095"/>
      <c r="R13" s="1095"/>
      <c r="S13" s="1095"/>
      <c r="T13" s="1095"/>
      <c r="U13" s="1095"/>
      <c r="V13" s="1095"/>
      <c r="W13" s="1095"/>
      <c r="X13" s="1095"/>
      <c r="Y13" s="1095"/>
      <c r="Z13" s="1134">
        <f t="shared" si="3"/>
        <v>2</v>
      </c>
      <c r="AA13" s="1135">
        <f t="shared" si="4"/>
        <v>0</v>
      </c>
      <c r="AB13" s="1135">
        <f t="shared" si="5"/>
        <v>6</v>
      </c>
    </row>
    <row r="14" spans="1:28" ht="15.75" customHeight="1">
      <c r="A14" s="146" t="s">
        <v>65</v>
      </c>
      <c r="B14" s="151" t="s">
        <v>66</v>
      </c>
      <c r="C14" s="1097" t="s">
        <v>46</v>
      </c>
      <c r="D14" s="1098" t="s">
        <v>46</v>
      </c>
      <c r="E14" s="1097"/>
      <c r="F14" s="1098" t="s">
        <v>46</v>
      </c>
      <c r="G14" s="1097" t="s">
        <v>46</v>
      </c>
      <c r="H14" s="70" t="s">
        <v>48</v>
      </c>
      <c r="I14" s="1097" t="s">
        <v>611</v>
      </c>
      <c r="J14" s="1097"/>
      <c r="K14" s="1097"/>
      <c r="L14" s="1097"/>
      <c r="M14" s="1097"/>
      <c r="N14" s="1097"/>
      <c r="O14" s="1097"/>
      <c r="P14" s="1097"/>
      <c r="Q14" s="1097"/>
      <c r="R14" s="1097"/>
      <c r="S14" s="1097"/>
      <c r="T14" s="1097"/>
      <c r="U14" s="1097"/>
      <c r="V14" s="1097"/>
      <c r="W14" s="1097"/>
      <c r="X14" s="1097"/>
      <c r="Y14" s="1097"/>
      <c r="Z14" s="1134" t="str">
        <f t="shared" si="3"/>
        <v>Нет оценок</v>
      </c>
      <c r="AA14" s="1135">
        <f t="shared" si="4"/>
        <v>1</v>
      </c>
      <c r="AB14" s="1135">
        <f t="shared" si="5"/>
        <v>4</v>
      </c>
    </row>
    <row r="15" spans="1:28" ht="15.75" customHeight="1">
      <c r="A15" s="149" t="s">
        <v>67</v>
      </c>
      <c r="B15" s="150" t="s">
        <v>68</v>
      </c>
      <c r="C15" s="1095">
        <v>4</v>
      </c>
      <c r="D15" s="1096">
        <v>4</v>
      </c>
      <c r="E15" s="1095"/>
      <c r="F15" s="1096"/>
      <c r="G15" s="1095" t="s">
        <v>37</v>
      </c>
      <c r="H15" s="1096">
        <v>5</v>
      </c>
      <c r="I15" s="1095" t="s">
        <v>37</v>
      </c>
      <c r="J15" s="1095"/>
      <c r="K15" s="1095"/>
      <c r="L15" s="1095"/>
      <c r="M15" s="1095"/>
      <c r="N15" s="1095"/>
      <c r="O15" s="1095"/>
      <c r="P15" s="1095"/>
      <c r="Q15" s="1095"/>
      <c r="R15" s="1095"/>
      <c r="S15" s="1095"/>
      <c r="T15" s="1095"/>
      <c r="U15" s="1095"/>
      <c r="V15" s="1095"/>
      <c r="W15" s="1095"/>
      <c r="X15" s="1095"/>
      <c r="Y15" s="1095"/>
      <c r="Z15" s="1134">
        <f t="shared" si="3"/>
        <v>4.333333333333333</v>
      </c>
      <c r="AA15" s="1135">
        <f t="shared" si="4"/>
        <v>0</v>
      </c>
      <c r="AB15" s="1135">
        <f t="shared" si="5"/>
        <v>0</v>
      </c>
    </row>
    <row r="16" spans="1:28" ht="15.75" customHeight="1">
      <c r="A16" s="144" t="s">
        <v>69</v>
      </c>
      <c r="B16" s="137" t="s">
        <v>70</v>
      </c>
      <c r="C16" s="1091" t="s">
        <v>46</v>
      </c>
      <c r="D16" s="1092" t="s">
        <v>46</v>
      </c>
      <c r="E16" s="1091"/>
      <c r="F16" s="1092">
        <v>5</v>
      </c>
      <c r="G16" s="1091" t="s">
        <v>37</v>
      </c>
      <c r="H16" s="1092">
        <v>2</v>
      </c>
      <c r="I16" s="1091" t="s">
        <v>37</v>
      </c>
      <c r="J16" s="1091"/>
      <c r="K16" s="1091"/>
      <c r="L16" s="1091"/>
      <c r="M16" s="1091"/>
      <c r="N16" s="1091"/>
      <c r="O16" s="1091"/>
      <c r="P16" s="1091"/>
      <c r="Q16" s="1091"/>
      <c r="R16" s="1091"/>
      <c r="S16" s="1091"/>
      <c r="T16" s="1091"/>
      <c r="U16" s="1091"/>
      <c r="V16" s="1091"/>
      <c r="W16" s="1091"/>
      <c r="X16" s="1091"/>
      <c r="Y16" s="1091"/>
      <c r="Z16" s="1134">
        <f t="shared" si="3"/>
        <v>3.5</v>
      </c>
      <c r="AA16" s="1135">
        <f t="shared" si="4"/>
        <v>0</v>
      </c>
      <c r="AB16" s="1135">
        <f t="shared" si="5"/>
        <v>2</v>
      </c>
    </row>
    <row r="17" spans="1:28" ht="15.75" customHeight="1">
      <c r="A17" s="144" t="s">
        <v>71</v>
      </c>
      <c r="B17" s="137" t="s">
        <v>72</v>
      </c>
      <c r="C17" s="1091">
        <v>4</v>
      </c>
      <c r="D17" s="1092">
        <v>4</v>
      </c>
      <c r="E17" s="1091" t="s">
        <v>46</v>
      </c>
      <c r="F17" s="1092"/>
      <c r="G17" s="1091" t="s">
        <v>37</v>
      </c>
      <c r="H17" s="1092">
        <v>5</v>
      </c>
      <c r="I17" s="1091" t="s">
        <v>46</v>
      </c>
      <c r="J17" s="1091"/>
      <c r="K17" s="1091"/>
      <c r="L17" s="1091"/>
      <c r="M17" s="1091"/>
      <c r="N17" s="1091"/>
      <c r="O17" s="1091"/>
      <c r="P17" s="1091"/>
      <c r="Q17" s="1091"/>
      <c r="R17" s="1091"/>
      <c r="S17" s="1091"/>
      <c r="T17" s="1091"/>
      <c r="U17" s="1091"/>
      <c r="V17" s="1091"/>
      <c r="W17" s="1091"/>
      <c r="X17" s="1091"/>
      <c r="Y17" s="1091"/>
      <c r="Z17" s="1134">
        <f t="shared" si="3"/>
        <v>4.333333333333333</v>
      </c>
      <c r="AA17" s="1135">
        <f t="shared" si="4"/>
        <v>0</v>
      </c>
      <c r="AB17" s="1135">
        <f t="shared" si="5"/>
        <v>2</v>
      </c>
    </row>
    <row r="18" spans="1:28" ht="15.75" customHeight="1">
      <c r="A18" s="144" t="s">
        <v>73</v>
      </c>
      <c r="B18" s="150" t="s">
        <v>74</v>
      </c>
      <c r="C18" s="1095" t="s">
        <v>46</v>
      </c>
      <c r="D18" s="1096" t="s">
        <v>46</v>
      </c>
      <c r="E18" s="1095"/>
      <c r="F18" s="1096">
        <v>3</v>
      </c>
      <c r="G18" s="1095" t="s">
        <v>37</v>
      </c>
      <c r="H18" s="1096">
        <v>2</v>
      </c>
      <c r="I18" s="1095" t="s">
        <v>37</v>
      </c>
      <c r="J18" s="1095"/>
      <c r="K18" s="1095"/>
      <c r="L18" s="1095"/>
      <c r="M18" s="1095"/>
      <c r="N18" s="1095"/>
      <c r="O18" s="1095"/>
      <c r="P18" s="1095"/>
      <c r="Q18" s="1095"/>
      <c r="R18" s="1095"/>
      <c r="S18" s="1095"/>
      <c r="T18" s="1095"/>
      <c r="U18" s="1095"/>
      <c r="V18" s="1095"/>
      <c r="W18" s="1095"/>
      <c r="X18" s="1095"/>
      <c r="Y18" s="1095"/>
      <c r="Z18" s="1134">
        <f t="shared" si="3"/>
        <v>2.5</v>
      </c>
      <c r="AA18" s="1135">
        <f t="shared" si="4"/>
        <v>0</v>
      </c>
      <c r="AB18" s="1135">
        <f t="shared" si="5"/>
        <v>2</v>
      </c>
    </row>
    <row r="19" spans="1:28" ht="15.75" customHeight="1">
      <c r="A19" s="146" t="s">
        <v>75</v>
      </c>
      <c r="B19" s="151" t="s">
        <v>76</v>
      </c>
      <c r="C19" s="1097" t="s">
        <v>46</v>
      </c>
      <c r="D19" s="1098" t="s">
        <v>46</v>
      </c>
      <c r="E19" s="1097"/>
      <c r="F19" s="1098">
        <v>5</v>
      </c>
      <c r="G19" s="1097" t="s">
        <v>37</v>
      </c>
      <c r="H19" s="1098" t="s">
        <v>46</v>
      </c>
      <c r="I19" s="1097" t="s">
        <v>37</v>
      </c>
      <c r="J19" s="1097"/>
      <c r="K19" s="1097"/>
      <c r="L19" s="1097"/>
      <c r="M19" s="1097"/>
      <c r="N19" s="1097"/>
      <c r="O19" s="1097"/>
      <c r="P19" s="1097"/>
      <c r="Q19" s="1097"/>
      <c r="R19" s="1097"/>
      <c r="S19" s="1097"/>
      <c r="T19" s="1097"/>
      <c r="U19" s="1097"/>
      <c r="V19" s="1097"/>
      <c r="W19" s="1097"/>
      <c r="X19" s="1097"/>
      <c r="Y19" s="1097"/>
      <c r="Z19" s="1134">
        <f t="shared" si="3"/>
        <v>5</v>
      </c>
      <c r="AA19" s="1135">
        <f t="shared" si="4"/>
        <v>0</v>
      </c>
      <c r="AB19" s="1135">
        <f t="shared" si="5"/>
        <v>3</v>
      </c>
    </row>
    <row r="20" spans="1:28" ht="15.75" customHeight="1">
      <c r="A20" s="149" t="s">
        <v>77</v>
      </c>
      <c r="B20" s="150" t="s">
        <v>78</v>
      </c>
      <c r="C20" s="1095">
        <v>5</v>
      </c>
      <c r="D20" s="1096">
        <v>5</v>
      </c>
      <c r="E20" s="1095"/>
      <c r="F20" s="1096"/>
      <c r="G20" s="1095" t="s">
        <v>37</v>
      </c>
      <c r="H20" s="1096">
        <v>5</v>
      </c>
      <c r="I20" s="1095" t="s">
        <v>46</v>
      </c>
      <c r="J20" s="1095"/>
      <c r="K20" s="1095"/>
      <c r="L20" s="1095"/>
      <c r="M20" s="1095"/>
      <c r="N20" s="1095"/>
      <c r="O20" s="1095"/>
      <c r="P20" s="1095"/>
      <c r="Q20" s="1095"/>
      <c r="R20" s="1095"/>
      <c r="S20" s="1095"/>
      <c r="T20" s="1095"/>
      <c r="U20" s="1095"/>
      <c r="V20" s="1095"/>
      <c r="W20" s="1095"/>
      <c r="X20" s="1095"/>
      <c r="Y20" s="1095"/>
      <c r="Z20" s="1134">
        <f t="shared" si="3"/>
        <v>5</v>
      </c>
      <c r="AA20" s="1135">
        <f t="shared" si="4"/>
        <v>0</v>
      </c>
      <c r="AB20" s="1135">
        <f t="shared" si="5"/>
        <v>1</v>
      </c>
    </row>
    <row r="21" spans="1:28" ht="15.75" customHeight="1">
      <c r="A21" s="144" t="s">
        <v>79</v>
      </c>
      <c r="B21" s="137" t="s">
        <v>80</v>
      </c>
      <c r="C21" s="1091" t="s">
        <v>46</v>
      </c>
      <c r="D21" s="1092" t="s">
        <v>46</v>
      </c>
      <c r="E21" s="1091"/>
      <c r="F21" s="1092"/>
      <c r="G21" s="1091" t="s">
        <v>37</v>
      </c>
      <c r="H21" s="1092">
        <v>5</v>
      </c>
      <c r="I21" s="1091" t="s">
        <v>37</v>
      </c>
      <c r="J21" s="1091"/>
      <c r="K21" s="1091"/>
      <c r="L21" s="1091"/>
      <c r="M21" s="1091"/>
      <c r="N21" s="1091"/>
      <c r="O21" s="1091"/>
      <c r="P21" s="1091"/>
      <c r="Q21" s="1091"/>
      <c r="R21" s="1091"/>
      <c r="S21" s="1091"/>
      <c r="T21" s="1091"/>
      <c r="U21" s="1091"/>
      <c r="V21" s="1091"/>
      <c r="W21" s="1091"/>
      <c r="X21" s="1091"/>
      <c r="Y21" s="1091"/>
      <c r="Z21" s="1134">
        <f t="shared" si="3"/>
        <v>5</v>
      </c>
      <c r="AA21" s="1135">
        <f t="shared" si="4"/>
        <v>0</v>
      </c>
      <c r="AB21" s="1135">
        <f t="shared" si="5"/>
        <v>2</v>
      </c>
    </row>
    <row r="22" spans="1:28" ht="15.75" customHeight="1">
      <c r="A22" s="144" t="s">
        <v>81</v>
      </c>
      <c r="B22" s="137" t="s">
        <v>82</v>
      </c>
      <c r="C22" s="1091">
        <v>5</v>
      </c>
      <c r="D22" s="1092">
        <v>5</v>
      </c>
      <c r="E22" s="1091"/>
      <c r="F22" s="1092"/>
      <c r="G22" s="1091" t="s">
        <v>37</v>
      </c>
      <c r="H22" s="70" t="s">
        <v>48</v>
      </c>
      <c r="I22" s="1091" t="s">
        <v>37</v>
      </c>
      <c r="J22" s="1091"/>
      <c r="K22" s="1091"/>
      <c r="L22" s="1091"/>
      <c r="M22" s="1091"/>
      <c r="N22" s="1091"/>
      <c r="O22" s="1091"/>
      <c r="P22" s="1091"/>
      <c r="Q22" s="1091"/>
      <c r="R22" s="1091"/>
      <c r="S22" s="1091"/>
      <c r="T22" s="1091"/>
      <c r="U22" s="1091"/>
      <c r="V22" s="1091"/>
      <c r="W22" s="1091"/>
      <c r="X22" s="1091"/>
      <c r="Y22" s="1091"/>
      <c r="Z22" s="1134">
        <f t="shared" si="3"/>
        <v>5</v>
      </c>
      <c r="AA22" s="1135">
        <f t="shared" si="4"/>
        <v>1</v>
      </c>
      <c r="AB22" s="1135">
        <f t="shared" si="5"/>
        <v>0</v>
      </c>
    </row>
    <row r="23" spans="1:28" ht="15.75" customHeight="1">
      <c r="A23" s="144" t="s">
        <v>83</v>
      </c>
      <c r="B23" s="150" t="s">
        <v>84</v>
      </c>
      <c r="C23" s="1095" t="s">
        <v>46</v>
      </c>
      <c r="D23" s="1096" t="s">
        <v>46</v>
      </c>
      <c r="E23" s="1095" t="s">
        <v>46</v>
      </c>
      <c r="F23" s="1096">
        <v>5</v>
      </c>
      <c r="G23" s="1095" t="s">
        <v>37</v>
      </c>
      <c r="H23" s="1096">
        <v>5</v>
      </c>
      <c r="I23" s="1095" t="s">
        <v>46</v>
      </c>
      <c r="J23" s="1095"/>
      <c r="K23" s="1095"/>
      <c r="L23" s="1095"/>
      <c r="M23" s="1095"/>
      <c r="N23" s="1095"/>
      <c r="O23" s="1095"/>
      <c r="P23" s="1095"/>
      <c r="Q23" s="1095"/>
      <c r="R23" s="1095"/>
      <c r="S23" s="1095"/>
      <c r="T23" s="1095"/>
      <c r="U23" s="1095"/>
      <c r="V23" s="1095"/>
      <c r="W23" s="1095"/>
      <c r="X23" s="1095"/>
      <c r="Y23" s="1095"/>
      <c r="Z23" s="1134">
        <f t="shared" si="3"/>
        <v>5</v>
      </c>
      <c r="AA23" s="1135">
        <f t="shared" si="4"/>
        <v>0</v>
      </c>
      <c r="AB23" s="1135">
        <f t="shared" si="5"/>
        <v>4</v>
      </c>
    </row>
    <row r="24" spans="1:28" ht="15.75" customHeight="1">
      <c r="A24" s="154" t="s">
        <v>27</v>
      </c>
      <c r="B24" s="151" t="s">
        <v>85</v>
      </c>
      <c r="C24" s="1097" t="s">
        <v>418</v>
      </c>
      <c r="D24" s="1098">
        <v>4</v>
      </c>
      <c r="E24" s="1097"/>
      <c r="F24" s="1098">
        <v>5</v>
      </c>
      <c r="G24" s="1097" t="s">
        <v>37</v>
      </c>
      <c r="H24" s="1098">
        <v>5</v>
      </c>
      <c r="I24" s="1097" t="s">
        <v>37</v>
      </c>
      <c r="J24" s="1097"/>
      <c r="K24" s="1097"/>
      <c r="L24" s="1097"/>
      <c r="M24" s="1097"/>
      <c r="N24" s="1097"/>
      <c r="O24" s="1097"/>
      <c r="P24" s="1097"/>
      <c r="Q24" s="1097"/>
      <c r="R24" s="1097"/>
      <c r="S24" s="1097"/>
      <c r="T24" s="1097"/>
      <c r="U24" s="1097"/>
      <c r="V24" s="1097"/>
      <c r="W24" s="1097"/>
      <c r="X24" s="1097"/>
      <c r="Y24" s="1097"/>
      <c r="Z24" s="1134">
        <f t="shared" si="3"/>
        <v>4.666666666666667</v>
      </c>
      <c r="AA24" s="1135">
        <f t="shared" si="4"/>
        <v>0</v>
      </c>
      <c r="AB24" s="1135">
        <f t="shared" si="5"/>
        <v>0</v>
      </c>
    </row>
    <row r="25" spans="1:28" ht="15.75" customHeight="1">
      <c r="A25" s="156" t="s">
        <v>86</v>
      </c>
      <c r="B25" s="150" t="s">
        <v>87</v>
      </c>
      <c r="C25" s="1095" t="s">
        <v>46</v>
      </c>
      <c r="D25" s="1096" t="s">
        <v>46</v>
      </c>
      <c r="E25" s="1095" t="s">
        <v>46</v>
      </c>
      <c r="F25" s="1096" t="s">
        <v>46</v>
      </c>
      <c r="G25" s="1095" t="s">
        <v>46</v>
      </c>
      <c r="H25" s="1096" t="s">
        <v>46</v>
      </c>
      <c r="I25" s="1095" t="s">
        <v>46</v>
      </c>
      <c r="J25" s="1095"/>
      <c r="K25" s="1095"/>
      <c r="L25" s="1095"/>
      <c r="M25" s="1095"/>
      <c r="N25" s="1095"/>
      <c r="O25" s="1095"/>
      <c r="P25" s="1095"/>
      <c r="Q25" s="1095"/>
      <c r="R25" s="1095"/>
      <c r="S25" s="1095"/>
      <c r="T25" s="1095"/>
      <c r="U25" s="1095"/>
      <c r="V25" s="1095"/>
      <c r="W25" s="1095"/>
      <c r="X25" s="1095"/>
      <c r="Y25" s="1095"/>
      <c r="Z25" s="1134" t="str">
        <f t="shared" si="3"/>
        <v>Нет оценок</v>
      </c>
      <c r="AA25" s="1135">
        <f t="shared" si="4"/>
        <v>0</v>
      </c>
      <c r="AB25" s="1135">
        <f t="shared" si="5"/>
        <v>7</v>
      </c>
    </row>
    <row r="26" spans="1:28" ht="0.75" customHeight="1">
      <c r="A26" s="139" t="s">
        <v>86</v>
      </c>
      <c r="B26" s="137" t="s">
        <v>88</v>
      </c>
      <c r="C26" s="1091" t="s">
        <v>46</v>
      </c>
      <c r="D26" s="1092" t="s">
        <v>46</v>
      </c>
      <c r="E26" s="1091" t="s">
        <v>46</v>
      </c>
      <c r="F26" s="1092" t="s">
        <v>46</v>
      </c>
      <c r="G26" s="1091" t="s">
        <v>46</v>
      </c>
      <c r="H26" s="1092" t="s">
        <v>46</v>
      </c>
      <c r="I26" s="1100"/>
      <c r="J26" s="1100"/>
      <c r="K26" s="1100"/>
      <c r="L26" s="1091"/>
      <c r="M26" s="1091"/>
      <c r="N26" s="1091"/>
      <c r="O26" s="1091"/>
      <c r="P26" s="1091"/>
      <c r="Q26" s="1091"/>
      <c r="R26" s="1091"/>
      <c r="S26" s="1091"/>
      <c r="T26" s="1091"/>
      <c r="U26" s="1091"/>
      <c r="V26" s="1091"/>
      <c r="W26" s="1091"/>
      <c r="X26" s="1091"/>
      <c r="Y26" s="1091"/>
      <c r="Z26" s="1134" t="str">
        <f t="shared" si="3"/>
        <v>Нет оценок</v>
      </c>
      <c r="AA26" s="1135">
        <f t="shared" si="4"/>
        <v>0</v>
      </c>
      <c r="AB26" s="1135">
        <f t="shared" si="5"/>
        <v>6</v>
      </c>
    </row>
    <row r="27" spans="1:28" ht="15.75" customHeight="1">
      <c r="A27" s="139" t="s">
        <v>89</v>
      </c>
      <c r="B27" s="137" t="s">
        <v>90</v>
      </c>
      <c r="C27" s="1103" t="s">
        <v>46</v>
      </c>
      <c r="D27" s="1104" t="s">
        <v>46</v>
      </c>
      <c r="E27" s="1103"/>
      <c r="F27" s="1104"/>
      <c r="G27" s="1103" t="s">
        <v>46</v>
      </c>
      <c r="H27" s="1104">
        <v>5</v>
      </c>
      <c r="I27" s="1103" t="s">
        <v>46</v>
      </c>
      <c r="J27" s="1103"/>
      <c r="K27" s="1103"/>
      <c r="L27" s="1103"/>
      <c r="M27" s="1103"/>
      <c r="N27" s="1103"/>
      <c r="O27" s="1103"/>
      <c r="P27" s="1103"/>
      <c r="Q27" s="1103"/>
      <c r="R27" s="1103"/>
      <c r="S27" s="1103"/>
      <c r="T27" s="1103"/>
      <c r="U27" s="1103"/>
      <c r="V27" s="1103"/>
      <c r="W27" s="1103"/>
      <c r="X27" s="1103"/>
      <c r="Y27" s="1103"/>
      <c r="Z27" s="1134">
        <f t="shared" si="3"/>
        <v>5</v>
      </c>
      <c r="AA27" s="1135">
        <f t="shared" si="4"/>
        <v>0</v>
      </c>
      <c r="AB27" s="1135">
        <f t="shared" si="5"/>
        <v>4</v>
      </c>
    </row>
    <row r="28" spans="1:28" ht="15.75" customHeight="1">
      <c r="A28" s="139" t="s">
        <v>91</v>
      </c>
      <c r="B28" s="137" t="s">
        <v>92</v>
      </c>
      <c r="C28" s="1091" t="s">
        <v>46</v>
      </c>
      <c r="D28" s="1106" t="s">
        <v>46</v>
      </c>
      <c r="E28" s="1105" t="s">
        <v>46</v>
      </c>
      <c r="F28" s="1106"/>
      <c r="G28" s="1105" t="s">
        <v>46</v>
      </c>
      <c r="H28" s="1106" t="s">
        <v>46</v>
      </c>
      <c r="I28" s="1105" t="s">
        <v>37</v>
      </c>
      <c r="J28" s="1105"/>
      <c r="K28" s="1105"/>
      <c r="L28" s="1105"/>
      <c r="M28" s="1105"/>
      <c r="N28" s="1105"/>
      <c r="O28" s="1105"/>
      <c r="P28" s="1105"/>
      <c r="Q28" s="1105"/>
      <c r="R28" s="1105"/>
      <c r="S28" s="1105"/>
      <c r="T28" s="1105"/>
      <c r="U28" s="1105"/>
      <c r="V28" s="1105"/>
      <c r="W28" s="1105"/>
      <c r="X28" s="1105"/>
      <c r="Y28" s="1105"/>
      <c r="Z28" s="1136" t="str">
        <f t="shared" si="3"/>
        <v>Нет оценок</v>
      </c>
      <c r="AA28" s="1135">
        <f t="shared" si="4"/>
        <v>0</v>
      </c>
      <c r="AB28" s="1135">
        <f t="shared" si="5"/>
        <v>5</v>
      </c>
    </row>
    <row r="29" spans="1:28" ht="31.5" customHeight="1">
      <c r="A29" s="767"/>
      <c r="B29" s="1137"/>
      <c r="C29" s="1105"/>
      <c r="D29" s="1138" t="s">
        <v>176</v>
      </c>
      <c r="E29" s="1105"/>
      <c r="F29" s="1138" t="s">
        <v>612</v>
      </c>
      <c r="G29" s="1105"/>
      <c r="H29" s="1138" t="s">
        <v>613</v>
      </c>
      <c r="I29" s="1105"/>
      <c r="J29" s="1105"/>
      <c r="K29" s="1105"/>
      <c r="L29" s="1105"/>
      <c r="M29" s="1105"/>
      <c r="N29" s="1105"/>
      <c r="O29" s="1105"/>
      <c r="P29" s="1105"/>
      <c r="Q29" s="1105"/>
      <c r="R29" s="1105"/>
      <c r="S29" s="1105"/>
      <c r="T29" s="1105"/>
      <c r="U29" s="1105"/>
      <c r="V29" s="1105"/>
      <c r="W29" s="1105"/>
      <c r="X29" s="1105"/>
      <c r="Y29" s="1105"/>
      <c r="Z29" s="1139"/>
      <c r="AA29" s="1135"/>
      <c r="AB29" s="1135"/>
    </row>
    <row r="30" spans="1:28">
      <c r="A30" s="1140" t="s">
        <v>93</v>
      </c>
      <c r="B30" s="1140" t="s">
        <v>94</v>
      </c>
      <c r="Z30" s="1141">
        <f>IFERROR(AVERAGE(Z5:Z28),"")</f>
        <v>4.3859649122807021</v>
      </c>
      <c r="AA30" s="1142">
        <f>SUM(AA5:AA28)</f>
        <v>2</v>
      </c>
      <c r="AB30" s="1142">
        <f>SUM(AB5:AB28)</f>
        <v>60</v>
      </c>
    </row>
    <row r="31" spans="1:28" ht="31.5">
      <c r="A31" s="1143">
        <v>46044</v>
      </c>
      <c r="B31" s="572" t="s">
        <v>614</v>
      </c>
      <c r="C31" s="1113" t="s">
        <v>234</v>
      </c>
      <c r="E31" s="1432" t="s">
        <v>419</v>
      </c>
      <c r="F31" s="1433"/>
      <c r="G31" s="1434"/>
      <c r="H31" s="1435" t="s">
        <v>420</v>
      </c>
      <c r="I31" s="1437"/>
      <c r="J31" s="1438" t="s">
        <v>421</v>
      </c>
      <c r="K31" s="1439"/>
      <c r="L31" s="1440"/>
    </row>
    <row r="32" spans="1:28" ht="31.5">
      <c r="A32" s="1143">
        <v>46044</v>
      </c>
      <c r="B32" s="1144" t="s">
        <v>615</v>
      </c>
      <c r="C32" s="1106" t="s">
        <v>444</v>
      </c>
      <c r="E32" s="1115"/>
      <c r="F32" s="1115" t="s">
        <v>324</v>
      </c>
      <c r="G32" s="1115" t="s">
        <v>325</v>
      </c>
      <c r="H32" s="1116"/>
      <c r="I32" s="1116" t="s">
        <v>325</v>
      </c>
      <c r="J32" s="1117"/>
      <c r="K32" s="1117" t="s">
        <v>324</v>
      </c>
      <c r="L32" s="1117" t="s">
        <v>325</v>
      </c>
    </row>
    <row r="33" spans="1:12">
      <c r="A33" s="1143">
        <v>46069</v>
      </c>
      <c r="B33" s="1145" t="s">
        <v>616</v>
      </c>
      <c r="C33" s="1113" t="s">
        <v>234</v>
      </c>
      <c r="E33" s="1115" t="s">
        <v>325</v>
      </c>
      <c r="F33" s="1118">
        <f>F34/2</f>
        <v>11</v>
      </c>
      <c r="G33" s="1118">
        <f>G34/2</f>
        <v>11</v>
      </c>
      <c r="H33" s="1116" t="s">
        <v>325</v>
      </c>
      <c r="I33" s="1007">
        <f>COUNTIF(C31:C103,"ПЗ")</f>
        <v>3</v>
      </c>
      <c r="J33" s="1117" t="s">
        <v>325</v>
      </c>
      <c r="K33" s="1119" t="e">
        <f>F33-#REF!</f>
        <v>#REF!</v>
      </c>
      <c r="L33" s="1119">
        <f t="shared" ref="L33:L34" si="6">G33-I33</f>
        <v>8</v>
      </c>
    </row>
    <row r="34" spans="1:12" ht="47.25">
      <c r="A34" s="1143">
        <v>46086</v>
      </c>
      <c r="B34" s="1145" t="s">
        <v>617</v>
      </c>
      <c r="C34" s="1113" t="s">
        <v>444</v>
      </c>
      <c r="E34" s="1115" t="s">
        <v>424</v>
      </c>
      <c r="F34" s="1118">
        <v>22</v>
      </c>
      <c r="G34" s="1118">
        <v>22</v>
      </c>
      <c r="H34" s="1116" t="s">
        <v>424</v>
      </c>
      <c r="I34" s="1122">
        <f>I33*2</f>
        <v>6</v>
      </c>
      <c r="J34" s="1117" t="s">
        <v>424</v>
      </c>
      <c r="K34" s="1119" t="e">
        <f>F34-#REF!</f>
        <v>#REF!</v>
      </c>
      <c r="L34" s="1119">
        <f t="shared" si="6"/>
        <v>16</v>
      </c>
    </row>
    <row r="35" spans="1:12">
      <c r="A35" s="1143">
        <v>46086</v>
      </c>
      <c r="B35" s="1145" t="s">
        <v>618</v>
      </c>
      <c r="C35" s="1113" t="s">
        <v>234</v>
      </c>
    </row>
    <row r="36" spans="1:12">
      <c r="A36" s="1143">
        <v>46091</v>
      </c>
      <c r="B36" s="1145" t="s">
        <v>619</v>
      </c>
      <c r="C36" s="1113" t="s">
        <v>234</v>
      </c>
    </row>
    <row r="37" spans="1:12">
      <c r="A37" s="1143">
        <v>46111</v>
      </c>
      <c r="B37" s="1145" t="s">
        <v>620</v>
      </c>
      <c r="C37" s="1113" t="s">
        <v>444</v>
      </c>
    </row>
    <row r="38" spans="1:12" ht="47.25">
      <c r="A38" s="1111">
        <v>46114</v>
      </c>
      <c r="B38" s="1114" t="s">
        <v>621</v>
      </c>
      <c r="C38" s="1113" t="s">
        <v>234</v>
      </c>
    </row>
    <row r="39" spans="1:12">
      <c r="A39" s="1146"/>
      <c r="B39" s="1145"/>
      <c r="C39" s="1113"/>
    </row>
    <row r="40" spans="1:12">
      <c r="A40" s="1146"/>
      <c r="B40" s="1145"/>
      <c r="C40" s="1113"/>
    </row>
    <row r="41" spans="1:12">
      <c r="A41" s="1146"/>
      <c r="B41" s="1145"/>
      <c r="C41" s="1113"/>
    </row>
    <row r="42" spans="1:12">
      <c r="A42" s="1146"/>
      <c r="B42" s="1145"/>
      <c r="C42" s="1113"/>
    </row>
    <row r="43" spans="1:12">
      <c r="A43" s="1146"/>
      <c r="B43" s="1145"/>
      <c r="C43" s="1113"/>
    </row>
    <row r="44" spans="1:12">
      <c r="A44" s="1146"/>
      <c r="B44" s="1145"/>
      <c r="C44" s="1113"/>
    </row>
    <row r="45" spans="1:12">
      <c r="A45" s="1146"/>
      <c r="B45" s="1145"/>
      <c r="C45" s="1113"/>
    </row>
    <row r="46" spans="1:12">
      <c r="A46" s="1146"/>
      <c r="B46" s="1145"/>
      <c r="C46" s="1113"/>
    </row>
    <row r="47" spans="1:12">
      <c r="A47" s="1146"/>
      <c r="B47" s="1145"/>
      <c r="C47" s="1113"/>
    </row>
    <row r="48" spans="1:12">
      <c r="A48" s="1146"/>
      <c r="B48" s="1145"/>
      <c r="C48" s="1113"/>
    </row>
    <row r="49" spans="1:3">
      <c r="A49" s="1146"/>
      <c r="B49" s="1145"/>
      <c r="C49" s="1113"/>
    </row>
    <row r="50" spans="1:3">
      <c r="A50" s="1146"/>
      <c r="B50" s="1145"/>
      <c r="C50" s="1113"/>
    </row>
    <row r="51" spans="1:3">
      <c r="A51" s="1146"/>
      <c r="B51" s="1145"/>
      <c r="C51" s="1113"/>
    </row>
    <row r="52" spans="1:3">
      <c r="A52" s="1146"/>
      <c r="B52" s="1145"/>
      <c r="C52" s="1113"/>
    </row>
    <row r="53" spans="1:3">
      <c r="A53" s="1146"/>
      <c r="B53" s="1145"/>
      <c r="C53" s="1113"/>
    </row>
    <row r="54" spans="1:3">
      <c r="A54" s="1146"/>
      <c r="B54" s="1145"/>
      <c r="C54" s="1113"/>
    </row>
    <row r="55" spans="1:3">
      <c r="A55" s="1146"/>
      <c r="B55" s="1145"/>
      <c r="C55" s="1113"/>
    </row>
    <row r="56" spans="1:3">
      <c r="A56" s="1146"/>
      <c r="B56" s="1145"/>
      <c r="C56" s="1113"/>
    </row>
    <row r="57" spans="1:3">
      <c r="A57" s="1146"/>
      <c r="B57" s="1145"/>
      <c r="C57" s="1113"/>
    </row>
    <row r="58" spans="1:3">
      <c r="A58" s="1146"/>
      <c r="B58" s="1145"/>
      <c r="C58" s="1113"/>
    </row>
    <row r="59" spans="1:3">
      <c r="A59" s="1146"/>
      <c r="B59" s="1145"/>
      <c r="C59" s="1113"/>
    </row>
    <row r="60" spans="1:3">
      <c r="A60" s="1146"/>
      <c r="B60" s="1145"/>
      <c r="C60" s="1113"/>
    </row>
    <row r="61" spans="1:3">
      <c r="A61" s="1146"/>
      <c r="B61" s="1145"/>
      <c r="C61" s="1113"/>
    </row>
    <row r="62" spans="1:3">
      <c r="A62" s="1146"/>
      <c r="B62" s="1145"/>
      <c r="C62" s="1113"/>
    </row>
    <row r="63" spans="1:3">
      <c r="A63" s="1146"/>
      <c r="B63" s="1145"/>
      <c r="C63" s="1113"/>
    </row>
    <row r="64" spans="1:3">
      <c r="A64" s="1146"/>
      <c r="B64" s="1145"/>
      <c r="C64" s="1113"/>
    </row>
    <row r="65" spans="1:3">
      <c r="A65" s="1146"/>
      <c r="B65" s="1145"/>
      <c r="C65" s="1113"/>
    </row>
    <row r="66" spans="1:3">
      <c r="A66" s="1146"/>
      <c r="B66" s="1145"/>
      <c r="C66" s="1113"/>
    </row>
    <row r="67" spans="1:3">
      <c r="A67" s="1146"/>
      <c r="B67" s="1145"/>
      <c r="C67" s="1113"/>
    </row>
    <row r="68" spans="1:3" ht="14.25" customHeight="1">
      <c r="A68" s="1146"/>
      <c r="B68" s="1145"/>
      <c r="C68" s="1113"/>
    </row>
    <row r="69" spans="1:3" ht="14.25" customHeight="1">
      <c r="A69" s="1146"/>
      <c r="B69" s="1145"/>
      <c r="C69" s="1113"/>
    </row>
    <row r="70" spans="1:3">
      <c r="A70" s="1146"/>
      <c r="B70" s="1145"/>
      <c r="C70" s="1113"/>
    </row>
    <row r="71" spans="1:3">
      <c r="A71" s="1146"/>
      <c r="B71" s="1145"/>
      <c r="C71" s="1113"/>
    </row>
    <row r="72" spans="1:3">
      <c r="A72" s="1146"/>
      <c r="B72" s="1145"/>
      <c r="C72" s="1113"/>
    </row>
    <row r="73" spans="1:3">
      <c r="A73" s="1146"/>
      <c r="B73" s="1145"/>
      <c r="C73" s="1113"/>
    </row>
    <row r="74" spans="1:3">
      <c r="A74" s="1146"/>
      <c r="B74" s="1145"/>
      <c r="C74" s="1113"/>
    </row>
    <row r="75" spans="1:3">
      <c r="A75" s="1146"/>
      <c r="B75" s="1145"/>
      <c r="C75" s="1113"/>
    </row>
    <row r="76" spans="1:3">
      <c r="A76" s="1146"/>
      <c r="B76" s="1145"/>
      <c r="C76" s="1113"/>
    </row>
    <row r="77" spans="1:3">
      <c r="A77" s="1146"/>
      <c r="B77" s="1145"/>
      <c r="C77" s="1113"/>
    </row>
    <row r="78" spans="1:3">
      <c r="A78" s="1146"/>
      <c r="B78" s="1145"/>
      <c r="C78" s="1113"/>
    </row>
    <row r="79" spans="1:3">
      <c r="A79" s="1146"/>
      <c r="B79" s="1145"/>
      <c r="C79" s="1113"/>
    </row>
    <row r="80" spans="1:3">
      <c r="A80" s="1146"/>
      <c r="B80" s="1145"/>
      <c r="C80" s="1113"/>
    </row>
    <row r="81" spans="1:3">
      <c r="A81" s="1146"/>
      <c r="B81" s="1145"/>
      <c r="C81" s="1113"/>
    </row>
    <row r="82" spans="1:3">
      <c r="A82" s="1146"/>
    </row>
    <row r="83" spans="1:3">
      <c r="A83" s="1146"/>
    </row>
    <row r="84" spans="1:3">
      <c r="A84" s="1146"/>
    </row>
    <row r="85" spans="1:3">
      <c r="A85" s="1146"/>
    </row>
    <row r="86" spans="1:3">
      <c r="A86" s="1146"/>
    </row>
    <row r="87" spans="1:3">
      <c r="A87" s="1146"/>
    </row>
    <row r="88" spans="1:3">
      <c r="A88" s="1146"/>
    </row>
    <row r="89" spans="1:3">
      <c r="A89" s="1146"/>
    </row>
    <row r="90" spans="1:3">
      <c r="A90" s="1146"/>
    </row>
    <row r="91" spans="1:3">
      <c r="A91" s="1146"/>
    </row>
    <row r="92" spans="1:3">
      <c r="A92" s="1146"/>
    </row>
    <row r="93" spans="1:3">
      <c r="A93" s="1146"/>
    </row>
    <row r="94" spans="1:3">
      <c r="A94" s="1146"/>
    </row>
  </sheetData>
  <mergeCells count="12">
    <mergeCell ref="AA3:AB3"/>
    <mergeCell ref="E31:G31"/>
    <mergeCell ref="H31:I31"/>
    <mergeCell ref="J31:L31"/>
    <mergeCell ref="A1:B1"/>
    <mergeCell ref="C1:Y1"/>
    <mergeCell ref="A2:B2"/>
    <mergeCell ref="C2:Y2"/>
    <mergeCell ref="A3:A4"/>
    <mergeCell ref="C3:E3"/>
    <mergeCell ref="F3:H3"/>
    <mergeCell ref="I3:K3"/>
  </mergeCells>
  <conditionalFormatting sqref="AB5:AB28">
    <cfRule type="cellIs" dxfId="16" priority="4" operator="greaterThan">
      <formula>0</formula>
    </cfRule>
  </conditionalFormatting>
  <conditionalFormatting sqref="Z5:Z28 Z30">
    <cfRule type="cellIs" dxfId="15" priority="3" operator="lessThan">
      <formula>3</formula>
    </cfRule>
  </conditionalFormatting>
  <conditionalFormatting sqref="I5:K28">
    <cfRule type="cellIs" dxfId="14" priority="5" operator="equal">
      <formula>"н"</formula>
    </cfRule>
  </conditionalFormatting>
  <conditionalFormatting sqref="C5:Y28">
    <cfRule type="cellIs" dxfId="13" priority="2" operator="equal">
      <formula>"н"</formula>
    </cfRule>
  </conditionalFormatting>
  <conditionalFormatting sqref="I5:K28">
    <cfRule type="cellIs" dxfId="12" priority="6" operator="equal">
      <formula>"н/у"</formula>
    </cfRule>
  </conditionalFormatting>
  <conditionalFormatting sqref="C5:Y28">
    <cfRule type="cellIs" dxfId="11" priority="1" operator="equal">
      <formula>2</formula>
    </cfRule>
  </conditionalFormatting>
  <conditionalFormatting sqref="I5:K28">
    <cfRule type="cellIs" dxfId="10" priority="7" operator="equal">
      <formula>2</formula>
    </cfRule>
  </conditionalFormatting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0.79998168889431442"/>
  </sheetPr>
  <dimension ref="A1:CC66"/>
  <sheetViews>
    <sheetView workbookViewId="0">
      <pane xSplit="2" ySplit="2" topLeftCell="C3" activePane="bottomRight" state="frozen"/>
      <selection activeCell="C3" sqref="C3"/>
      <selection pane="topRight"/>
      <selection pane="bottomLeft"/>
      <selection pane="bottomRight" activeCell="C3" sqref="C3"/>
    </sheetView>
  </sheetViews>
  <sheetFormatPr defaultColWidth="11.5546875" defaultRowHeight="15"/>
  <cols>
    <col min="1" max="1" width="7.77734375" customWidth="1"/>
    <col min="2" max="2" width="34.44140625" customWidth="1"/>
    <col min="3" max="78" width="2.77734375" customWidth="1"/>
    <col min="79" max="79" width="10.6640625" customWidth="1"/>
    <col min="80" max="81" width="8.109375" customWidth="1"/>
  </cols>
  <sheetData>
    <row r="1" spans="1:81" ht="27.75">
      <c r="A1" s="1277" t="s">
        <v>38</v>
      </c>
      <c r="B1" s="1277"/>
      <c r="C1" s="1276" t="s">
        <v>622</v>
      </c>
      <c r="D1" s="1276"/>
      <c r="E1" s="1276"/>
      <c r="F1" s="1276"/>
      <c r="G1" s="1276"/>
      <c r="H1" s="1276"/>
      <c r="I1" s="1276"/>
      <c r="J1" s="1276"/>
      <c r="K1" s="1276"/>
      <c r="L1" s="1276"/>
      <c r="M1" s="1276"/>
      <c r="N1" s="1276"/>
      <c r="O1" s="1276"/>
      <c r="P1" s="1276"/>
      <c r="Q1" s="1276"/>
      <c r="R1" s="1276"/>
      <c r="S1" s="1276"/>
      <c r="T1" s="1276"/>
      <c r="U1" s="1276"/>
      <c r="V1" s="1276"/>
      <c r="W1" s="1276"/>
      <c r="X1" s="1276"/>
      <c r="Y1" s="1276"/>
      <c r="Z1" s="1276"/>
      <c r="AA1" s="1276"/>
      <c r="AB1" s="1276"/>
      <c r="AC1" s="1276"/>
      <c r="AD1" s="1276"/>
      <c r="AE1" s="1276"/>
      <c r="AF1" s="1276"/>
      <c r="AG1" s="1276"/>
      <c r="AH1" s="1276"/>
      <c r="AI1" s="1276"/>
      <c r="AJ1" s="1276"/>
      <c r="AK1" s="1276"/>
      <c r="AL1" s="1276"/>
      <c r="AM1" s="1276"/>
      <c r="AN1" s="1276"/>
      <c r="AO1" s="1276"/>
      <c r="AP1" s="1276"/>
      <c r="AQ1" s="1276"/>
      <c r="AR1" s="1276"/>
      <c r="AS1" s="1276"/>
      <c r="AT1" s="1276"/>
      <c r="AU1" s="1276"/>
      <c r="AV1" s="1276"/>
      <c r="AW1" s="1276"/>
      <c r="AX1" s="1276"/>
      <c r="AY1" s="1276"/>
      <c r="AZ1" s="1276"/>
      <c r="BA1" s="1276"/>
      <c r="BB1" s="1276"/>
      <c r="BC1" s="1276"/>
      <c r="BD1" s="1276"/>
      <c r="BE1" s="1276"/>
      <c r="BF1" s="1276"/>
      <c r="BG1" s="1276"/>
      <c r="BH1" s="1276"/>
      <c r="BI1" s="1276"/>
      <c r="BJ1" s="1276"/>
      <c r="BK1" s="1276"/>
      <c r="BL1" s="1276"/>
      <c r="BM1" s="1276"/>
      <c r="BN1" s="1276"/>
      <c r="BO1" s="1276"/>
      <c r="BP1" s="1276"/>
      <c r="BQ1" s="1276"/>
      <c r="BR1" s="1276"/>
      <c r="BS1" s="1276"/>
      <c r="BT1" s="1276"/>
      <c r="BU1" s="1276"/>
      <c r="BV1" s="1276"/>
      <c r="BW1" s="1276"/>
      <c r="BX1" s="1276"/>
      <c r="BY1" s="1276"/>
      <c r="BZ1" s="1276"/>
    </row>
    <row r="2" spans="1:81" ht="27.75">
      <c r="A2" s="1277" t="s">
        <v>39</v>
      </c>
      <c r="B2" s="1277"/>
      <c r="C2" s="1277" t="s">
        <v>145</v>
      </c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1277"/>
      <c r="AD2" s="1277"/>
      <c r="AE2" s="1277"/>
      <c r="AF2" s="1277"/>
      <c r="AG2" s="1277"/>
      <c r="AH2" s="1277"/>
      <c r="AI2" s="1277"/>
      <c r="AJ2" s="1277"/>
      <c r="AK2" s="1277"/>
      <c r="AL2" s="1277"/>
      <c r="AM2" s="1277"/>
      <c r="AN2" s="1277"/>
      <c r="AO2" s="1277"/>
      <c r="AP2" s="1277"/>
      <c r="AQ2" s="1277"/>
      <c r="AR2" s="1277"/>
      <c r="AS2" s="1277"/>
      <c r="AT2" s="1277"/>
      <c r="AU2" s="1277"/>
      <c r="AV2" s="1277"/>
      <c r="AW2" s="1277"/>
      <c r="AX2" s="1277"/>
      <c r="AY2" s="1277"/>
      <c r="AZ2" s="1277"/>
      <c r="BA2" s="1277"/>
      <c r="BB2" s="1277"/>
      <c r="BC2" s="1277"/>
      <c r="BD2" s="1277"/>
      <c r="BE2" s="1277"/>
      <c r="BF2" s="1277"/>
      <c r="BG2" s="1277"/>
      <c r="BH2" s="1277"/>
      <c r="BI2" s="1277"/>
      <c r="BJ2" s="1277"/>
      <c r="BK2" s="1277"/>
      <c r="BL2" s="1277"/>
      <c r="BM2" s="1277"/>
      <c r="BN2" s="1277"/>
      <c r="BO2" s="1277"/>
      <c r="BP2" s="1277"/>
      <c r="BQ2" s="1277"/>
      <c r="BR2" s="1277"/>
      <c r="BS2" s="1277"/>
      <c r="BT2" s="1277"/>
      <c r="BU2" s="1277"/>
      <c r="BV2" s="1277"/>
      <c r="BW2" s="1277"/>
      <c r="BX2" s="1277"/>
      <c r="BY2" s="1277"/>
      <c r="BZ2" s="1277"/>
      <c r="CA2" s="32"/>
      <c r="CB2" s="32"/>
      <c r="CC2" s="32"/>
    </row>
    <row r="3" spans="1:81" ht="15.75">
      <c r="A3" s="1281" t="s">
        <v>41</v>
      </c>
      <c r="B3" s="129" t="s">
        <v>42</v>
      </c>
      <c r="C3" s="1313" t="s">
        <v>150</v>
      </c>
      <c r="D3" s="1314"/>
      <c r="E3" s="1451"/>
      <c r="F3" s="1314" t="s">
        <v>151</v>
      </c>
      <c r="G3" s="1314"/>
      <c r="H3" s="1315"/>
      <c r="I3" s="43"/>
      <c r="J3" s="43"/>
      <c r="K3" s="43"/>
      <c r="L3" s="43"/>
      <c r="M3" s="43"/>
      <c r="N3" s="43"/>
      <c r="O3" s="1147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315"/>
      <c r="BY3" s="315"/>
      <c r="BZ3" s="315"/>
      <c r="CA3" s="45"/>
      <c r="CB3" s="1278" t="s">
        <v>0</v>
      </c>
      <c r="CC3" s="1279"/>
    </row>
    <row r="4" spans="1:81" ht="15.75">
      <c r="A4" s="1450"/>
      <c r="B4" s="1148" t="s">
        <v>43</v>
      </c>
      <c r="C4" s="1149">
        <v>12</v>
      </c>
      <c r="D4" s="317">
        <v>20</v>
      </c>
      <c r="E4" s="1150">
        <v>26</v>
      </c>
      <c r="F4" s="1151">
        <v>5</v>
      </c>
      <c r="G4" s="1152">
        <v>19</v>
      </c>
      <c r="H4" s="1153">
        <v>20</v>
      </c>
      <c r="I4" s="317"/>
      <c r="J4" s="317"/>
      <c r="K4" s="317"/>
      <c r="L4" s="317"/>
      <c r="M4" s="317"/>
      <c r="N4" s="317"/>
      <c r="O4" s="1154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7"/>
      <c r="AA4" s="317"/>
      <c r="AB4" s="317"/>
      <c r="AC4" s="317"/>
      <c r="AD4" s="317"/>
      <c r="AE4" s="317"/>
      <c r="AF4" s="317"/>
      <c r="AG4" s="317"/>
      <c r="AH4" s="317"/>
      <c r="AI4" s="317"/>
      <c r="AJ4" s="317"/>
      <c r="AK4" s="317"/>
      <c r="AL4" s="317"/>
      <c r="AM4" s="317"/>
      <c r="AN4" s="317"/>
      <c r="AO4" s="317"/>
      <c r="AP4" s="317"/>
      <c r="AQ4" s="317"/>
      <c r="AR4" s="317"/>
      <c r="AS4" s="317"/>
      <c r="AT4" s="317"/>
      <c r="AU4" s="317"/>
      <c r="AV4" s="317"/>
      <c r="AW4" s="317"/>
      <c r="AX4" s="317"/>
      <c r="AY4" s="317"/>
      <c r="AZ4" s="317"/>
      <c r="BA4" s="317"/>
      <c r="BB4" s="317"/>
      <c r="BC4" s="317"/>
      <c r="BD4" s="317"/>
      <c r="BE4" s="317"/>
      <c r="BF4" s="317"/>
      <c r="BG4" s="317"/>
      <c r="BH4" s="317"/>
      <c r="BI4" s="317"/>
      <c r="BJ4" s="317"/>
      <c r="BK4" s="317"/>
      <c r="BL4" s="317"/>
      <c r="BM4" s="317"/>
      <c r="BN4" s="317"/>
      <c r="BO4" s="317"/>
      <c r="BP4" s="317"/>
      <c r="BQ4" s="317"/>
      <c r="BR4" s="317"/>
      <c r="BS4" s="317"/>
      <c r="BT4" s="317"/>
      <c r="BU4" s="317"/>
      <c r="BV4" s="317"/>
      <c r="BW4" s="317"/>
      <c r="BX4" s="317"/>
      <c r="BY4" s="317"/>
      <c r="BZ4" s="317"/>
      <c r="CA4" s="1155" t="s">
        <v>33</v>
      </c>
      <c r="CB4" s="60" t="s">
        <v>5</v>
      </c>
      <c r="CC4" s="60" t="s">
        <v>6</v>
      </c>
    </row>
    <row r="5" spans="1:81" ht="15" customHeight="1">
      <c r="A5" s="136" t="s">
        <v>44</v>
      </c>
      <c r="B5" s="970" t="s">
        <v>45</v>
      </c>
      <c r="C5" s="80" t="s">
        <v>46</v>
      </c>
      <c r="D5" s="82" t="s">
        <v>46</v>
      </c>
      <c r="E5" s="934" t="s">
        <v>46</v>
      </c>
      <c r="F5" s="80"/>
      <c r="G5" s="232" t="s">
        <v>46</v>
      </c>
      <c r="H5" s="82"/>
      <c r="I5" s="82"/>
      <c r="J5" s="82"/>
      <c r="K5" s="82"/>
      <c r="L5" s="82"/>
      <c r="M5" s="82"/>
      <c r="N5" s="82"/>
      <c r="O5" s="82"/>
      <c r="P5" s="82"/>
      <c r="Q5" s="464"/>
      <c r="R5" s="464"/>
      <c r="S5" s="464"/>
      <c r="T5" s="464"/>
      <c r="U5" s="464"/>
      <c r="V5" s="464"/>
      <c r="W5" s="464"/>
      <c r="X5" s="464"/>
      <c r="Y5" s="464"/>
      <c r="Z5" s="464"/>
      <c r="AA5" s="464"/>
      <c r="AB5" s="464"/>
      <c r="AC5" s="464"/>
      <c r="AD5" s="464"/>
      <c r="AE5" s="464"/>
      <c r="AF5" s="464"/>
      <c r="AG5" s="464"/>
      <c r="AH5" s="464"/>
      <c r="AI5" s="464"/>
      <c r="AJ5" s="464"/>
      <c r="AK5" s="464"/>
      <c r="AL5" s="464"/>
      <c r="AM5" s="464"/>
      <c r="AN5" s="464"/>
      <c r="AO5" s="464"/>
      <c r="AP5" s="464"/>
      <c r="AQ5" s="464"/>
      <c r="AR5" s="464"/>
      <c r="AS5" s="464"/>
      <c r="AT5" s="464"/>
      <c r="AU5" s="464"/>
      <c r="AV5" s="464"/>
      <c r="AW5" s="464"/>
      <c r="AX5" s="464"/>
      <c r="AY5" s="464"/>
      <c r="AZ5" s="464"/>
      <c r="BA5" s="464"/>
      <c r="BB5" s="464"/>
      <c r="BC5" s="464"/>
      <c r="BD5" s="464"/>
      <c r="BE5" s="464"/>
      <c r="BF5" s="464"/>
      <c r="BG5" s="464"/>
      <c r="BH5" s="464"/>
      <c r="BI5" s="464"/>
      <c r="BJ5" s="82"/>
      <c r="BK5" s="464"/>
      <c r="BL5" s="464"/>
      <c r="BM5" s="464"/>
      <c r="BN5" s="464"/>
      <c r="BO5" s="464"/>
      <c r="BP5" s="464"/>
      <c r="BQ5" s="464"/>
      <c r="BR5" s="464"/>
      <c r="BS5" s="464"/>
      <c r="BT5" s="464"/>
      <c r="BU5" s="464"/>
      <c r="BV5" s="464"/>
      <c r="BW5" s="464"/>
      <c r="BX5" s="464"/>
      <c r="BY5" s="464"/>
      <c r="BZ5" s="1156"/>
      <c r="CA5" s="1157" t="str">
        <f t="shared" ref="CA5:CA9" si="0">IFERROR(AVERAGE(C5:BZ5),"Нет оценок")</f>
        <v>Нет оценок</v>
      </c>
      <c r="CB5" s="1158">
        <f t="shared" ref="CB5:CB9" si="1">COUNTIF(C5:BZ5,"н/у")</f>
        <v>0</v>
      </c>
      <c r="CC5" s="77">
        <f t="shared" ref="CC5:CC9" si="2">COUNTIF(C5:BZ5,"н")</f>
        <v>4</v>
      </c>
    </row>
    <row r="6" spans="1:81" ht="15" customHeight="1">
      <c r="A6" s="139" t="s">
        <v>49</v>
      </c>
      <c r="B6" s="203" t="s">
        <v>50</v>
      </c>
      <c r="C6" s="74"/>
      <c r="D6" s="70" t="s">
        <v>46</v>
      </c>
      <c r="E6" s="735">
        <v>5</v>
      </c>
      <c r="F6" s="74"/>
      <c r="G6" s="1159"/>
      <c r="H6" s="70"/>
      <c r="I6" s="70" t="s">
        <v>623</v>
      </c>
      <c r="J6" s="70"/>
      <c r="K6" s="70"/>
      <c r="L6" s="70"/>
      <c r="M6" s="70"/>
      <c r="N6" s="70"/>
      <c r="O6" s="70"/>
      <c r="P6" s="70"/>
      <c r="Q6" s="322"/>
      <c r="R6" s="322"/>
      <c r="S6" s="322"/>
      <c r="T6" s="322"/>
      <c r="U6" s="322"/>
      <c r="V6" s="322"/>
      <c r="W6" s="322"/>
      <c r="X6" s="322"/>
      <c r="Y6" s="322"/>
      <c r="Z6" s="322"/>
      <c r="AA6" s="322"/>
      <c r="AB6" s="322"/>
      <c r="AC6" s="322"/>
      <c r="AD6" s="322"/>
      <c r="AE6" s="322"/>
      <c r="AF6" s="322"/>
      <c r="AG6" s="322"/>
      <c r="AH6" s="322"/>
      <c r="AI6" s="322"/>
      <c r="AJ6" s="322"/>
      <c r="AK6" s="322"/>
      <c r="AL6" s="322"/>
      <c r="AM6" s="322"/>
      <c r="AN6" s="322"/>
      <c r="AO6" s="322"/>
      <c r="AP6" s="322"/>
      <c r="AQ6" s="322"/>
      <c r="AR6" s="322"/>
      <c r="AS6" s="322"/>
      <c r="AT6" s="322"/>
      <c r="AU6" s="322"/>
      <c r="AV6" s="322"/>
      <c r="AW6" s="322"/>
      <c r="AX6" s="322"/>
      <c r="AY6" s="322"/>
      <c r="AZ6" s="322"/>
      <c r="BA6" s="322"/>
      <c r="BB6" s="322"/>
      <c r="BC6" s="322"/>
      <c r="BD6" s="322"/>
      <c r="BE6" s="322"/>
      <c r="BF6" s="322"/>
      <c r="BG6" s="322"/>
      <c r="BH6" s="322"/>
      <c r="BI6" s="322"/>
      <c r="BJ6" s="70"/>
      <c r="BK6" s="322"/>
      <c r="BL6" s="322"/>
      <c r="BM6" s="322"/>
      <c r="BN6" s="322"/>
      <c r="BO6" s="322"/>
      <c r="BP6" s="322"/>
      <c r="BQ6" s="322"/>
      <c r="BR6" s="322"/>
      <c r="BS6" s="322"/>
      <c r="BT6" s="322"/>
      <c r="BU6" s="322"/>
      <c r="BV6" s="322"/>
      <c r="BW6" s="322"/>
      <c r="BX6" s="322"/>
      <c r="BY6" s="322"/>
      <c r="BZ6" s="1160"/>
      <c r="CA6" s="1161">
        <f t="shared" si="0"/>
        <v>5</v>
      </c>
      <c r="CB6" s="1158">
        <f t="shared" si="1"/>
        <v>0</v>
      </c>
      <c r="CC6" s="77">
        <f t="shared" si="2"/>
        <v>1</v>
      </c>
    </row>
    <row r="7" spans="1:81" ht="15" customHeight="1">
      <c r="A7" s="204" t="s">
        <v>51</v>
      </c>
      <c r="B7" s="137" t="s">
        <v>52</v>
      </c>
      <c r="C7" s="74"/>
      <c r="D7" s="70" t="s">
        <v>46</v>
      </c>
      <c r="E7" s="735">
        <v>5</v>
      </c>
      <c r="F7" s="74"/>
      <c r="G7" s="189"/>
      <c r="H7" s="70"/>
      <c r="I7" s="70" t="s">
        <v>624</v>
      </c>
      <c r="J7" s="70"/>
      <c r="K7" s="70"/>
      <c r="L7" s="70"/>
      <c r="M7" s="70"/>
      <c r="N7" s="70"/>
      <c r="O7" s="70"/>
      <c r="P7" s="70"/>
      <c r="Q7" s="322"/>
      <c r="R7" s="322"/>
      <c r="S7" s="322"/>
      <c r="T7" s="322"/>
      <c r="U7" s="322"/>
      <c r="V7" s="322"/>
      <c r="W7" s="322"/>
      <c r="X7" s="322"/>
      <c r="Y7" s="322"/>
      <c r="Z7" s="322"/>
      <c r="AA7" s="322"/>
      <c r="AB7" s="322"/>
      <c r="AC7" s="322"/>
      <c r="AD7" s="322"/>
      <c r="AE7" s="322"/>
      <c r="AF7" s="322"/>
      <c r="AG7" s="322"/>
      <c r="AH7" s="322"/>
      <c r="AI7" s="322"/>
      <c r="AJ7" s="322"/>
      <c r="AK7" s="322"/>
      <c r="AL7" s="322"/>
      <c r="AM7" s="322"/>
      <c r="AN7" s="322"/>
      <c r="AO7" s="322"/>
      <c r="AP7" s="322"/>
      <c r="AQ7" s="322"/>
      <c r="AR7" s="322"/>
      <c r="AS7" s="322"/>
      <c r="AT7" s="322"/>
      <c r="AU7" s="322"/>
      <c r="AV7" s="322"/>
      <c r="AW7" s="322"/>
      <c r="AX7" s="322"/>
      <c r="AY7" s="322"/>
      <c r="AZ7" s="322"/>
      <c r="BA7" s="322"/>
      <c r="BB7" s="322"/>
      <c r="BC7" s="322"/>
      <c r="BD7" s="322"/>
      <c r="BE7" s="322"/>
      <c r="BF7" s="322"/>
      <c r="BG7" s="322"/>
      <c r="BH7" s="322"/>
      <c r="BI7" s="322"/>
      <c r="BJ7" s="70"/>
      <c r="BK7" s="322"/>
      <c r="BL7" s="322"/>
      <c r="BM7" s="322"/>
      <c r="BN7" s="322"/>
      <c r="BO7" s="322"/>
      <c r="BP7" s="322"/>
      <c r="BQ7" s="322"/>
      <c r="BR7" s="322"/>
      <c r="BS7" s="322"/>
      <c r="BT7" s="322"/>
      <c r="BU7" s="322"/>
      <c r="BV7" s="322"/>
      <c r="BW7" s="322"/>
      <c r="BX7" s="322"/>
      <c r="BY7" s="322"/>
      <c r="BZ7" s="1160"/>
      <c r="CA7" s="1161">
        <f t="shared" si="0"/>
        <v>5</v>
      </c>
      <c r="CB7" s="1158">
        <f t="shared" si="1"/>
        <v>0</v>
      </c>
      <c r="CC7" s="77">
        <f t="shared" si="2"/>
        <v>1</v>
      </c>
    </row>
    <row r="8" spans="1:81" ht="15" customHeight="1">
      <c r="A8" s="144" t="s">
        <v>53</v>
      </c>
      <c r="B8" s="137" t="s">
        <v>54</v>
      </c>
      <c r="C8" s="74"/>
      <c r="D8" s="70"/>
      <c r="E8" s="735" t="s">
        <v>46</v>
      </c>
      <c r="F8" s="74" t="s">
        <v>46</v>
      </c>
      <c r="G8" s="1159" t="s">
        <v>46</v>
      </c>
      <c r="H8" s="70" t="s">
        <v>46</v>
      </c>
      <c r="I8" s="70"/>
      <c r="J8" s="70"/>
      <c r="K8" s="70"/>
      <c r="L8" s="70"/>
      <c r="M8" s="70"/>
      <c r="N8" s="70"/>
      <c r="O8" s="70"/>
      <c r="P8" s="70"/>
      <c r="Q8" s="322"/>
      <c r="R8" s="322"/>
      <c r="S8" s="322"/>
      <c r="T8" s="322"/>
      <c r="U8" s="322"/>
      <c r="V8" s="322"/>
      <c r="W8" s="322"/>
      <c r="X8" s="322"/>
      <c r="Y8" s="322"/>
      <c r="Z8" s="322"/>
      <c r="AA8" s="322"/>
      <c r="AB8" s="322"/>
      <c r="AC8" s="322"/>
      <c r="AD8" s="322"/>
      <c r="AE8" s="322"/>
      <c r="AF8" s="322"/>
      <c r="AG8" s="322"/>
      <c r="AH8" s="322"/>
      <c r="AI8" s="322"/>
      <c r="AJ8" s="322"/>
      <c r="AK8" s="322"/>
      <c r="AL8" s="322"/>
      <c r="AM8" s="322"/>
      <c r="AN8" s="322"/>
      <c r="AO8" s="322"/>
      <c r="AP8" s="322"/>
      <c r="AQ8" s="322"/>
      <c r="AR8" s="322"/>
      <c r="AS8" s="322"/>
      <c r="AT8" s="322"/>
      <c r="AU8" s="322"/>
      <c r="AV8" s="322"/>
      <c r="AW8" s="322"/>
      <c r="AX8" s="322"/>
      <c r="AY8" s="322"/>
      <c r="AZ8" s="322"/>
      <c r="BA8" s="322"/>
      <c r="BB8" s="322"/>
      <c r="BC8" s="322"/>
      <c r="BD8" s="322"/>
      <c r="BE8" s="322"/>
      <c r="BF8" s="322"/>
      <c r="BG8" s="322"/>
      <c r="BH8" s="322"/>
      <c r="BI8" s="322"/>
      <c r="BJ8" s="70"/>
      <c r="BK8" s="322"/>
      <c r="BL8" s="322"/>
      <c r="BM8" s="322"/>
      <c r="BN8" s="322"/>
      <c r="BO8" s="322"/>
      <c r="BP8" s="322"/>
      <c r="BQ8" s="322"/>
      <c r="BR8" s="322"/>
      <c r="BS8" s="322"/>
      <c r="BT8" s="322"/>
      <c r="BU8" s="322"/>
      <c r="BV8" s="322"/>
      <c r="BW8" s="322"/>
      <c r="BX8" s="322"/>
      <c r="BY8" s="322"/>
      <c r="BZ8" s="1160"/>
      <c r="CA8" s="1161" t="str">
        <f t="shared" si="0"/>
        <v>Нет оценок</v>
      </c>
      <c r="CB8" s="1158">
        <f t="shared" si="1"/>
        <v>0</v>
      </c>
      <c r="CC8" s="77">
        <f t="shared" si="2"/>
        <v>4</v>
      </c>
    </row>
    <row r="9" spans="1:81" ht="15" customHeight="1">
      <c r="A9" s="146" t="s">
        <v>55</v>
      </c>
      <c r="B9" s="151" t="s">
        <v>56</v>
      </c>
      <c r="C9" s="101"/>
      <c r="D9" s="103"/>
      <c r="E9" s="726">
        <v>5</v>
      </c>
      <c r="F9" s="101"/>
      <c r="G9" s="218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162"/>
      <c r="CA9" s="1163">
        <f t="shared" si="0"/>
        <v>5</v>
      </c>
      <c r="CB9" s="1158">
        <f t="shared" si="1"/>
        <v>0</v>
      </c>
      <c r="CC9" s="77">
        <f t="shared" si="2"/>
        <v>0</v>
      </c>
    </row>
    <row r="10" spans="1:81" ht="15" customHeight="1">
      <c r="A10" s="149" t="s">
        <v>57</v>
      </c>
      <c r="B10" s="970" t="s">
        <v>58</v>
      </c>
      <c r="C10" s="80"/>
      <c r="D10" s="82"/>
      <c r="E10" s="934">
        <v>5</v>
      </c>
      <c r="F10" s="80"/>
      <c r="G10" s="1159"/>
      <c r="H10" s="82"/>
      <c r="I10" s="82" t="s">
        <v>625</v>
      </c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4"/>
      <c r="CA10" s="1157">
        <f t="shared" ref="CA10:CA28" si="3">IFERROR(AVERAGE(C10:BZ10),"Нет оценок")</f>
        <v>5</v>
      </c>
      <c r="CB10" s="1158">
        <f t="shared" ref="CB10:CB28" si="4">COUNTIF(C10:BZ10,"н/у")</f>
        <v>0</v>
      </c>
      <c r="CC10" s="77">
        <f t="shared" ref="CC10:CC28" si="5">COUNTIF(C10:BZ10,"н")</f>
        <v>0</v>
      </c>
    </row>
    <row r="11" spans="1:81" ht="15" customHeight="1">
      <c r="A11" s="144" t="s">
        <v>59</v>
      </c>
      <c r="B11" s="137" t="s">
        <v>60</v>
      </c>
      <c r="C11" s="74"/>
      <c r="D11" s="70"/>
      <c r="E11" s="735">
        <v>5</v>
      </c>
      <c r="F11" s="74"/>
      <c r="G11" s="189" t="s">
        <v>46</v>
      </c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62"/>
      <c r="CA11" s="1161">
        <f t="shared" si="3"/>
        <v>5</v>
      </c>
      <c r="CB11" s="1158">
        <f t="shared" si="4"/>
        <v>0</v>
      </c>
      <c r="CC11" s="77">
        <f t="shared" si="5"/>
        <v>1</v>
      </c>
    </row>
    <row r="12" spans="1:81" ht="15" customHeight="1">
      <c r="A12" s="144" t="s">
        <v>61</v>
      </c>
      <c r="B12" s="137" t="s">
        <v>62</v>
      </c>
      <c r="C12" s="74"/>
      <c r="D12" s="70"/>
      <c r="E12" s="735">
        <v>5</v>
      </c>
      <c r="F12" s="74"/>
      <c r="G12" s="1159" t="s">
        <v>46</v>
      </c>
      <c r="H12" s="70" t="s">
        <v>46</v>
      </c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62"/>
      <c r="CA12" s="1161">
        <f t="shared" si="3"/>
        <v>5</v>
      </c>
      <c r="CB12" s="1158">
        <f t="shared" si="4"/>
        <v>0</v>
      </c>
      <c r="CC12" s="77">
        <f t="shared" si="5"/>
        <v>2</v>
      </c>
    </row>
    <row r="13" spans="1:81" ht="15" customHeight="1">
      <c r="A13" s="144" t="s">
        <v>63</v>
      </c>
      <c r="B13" s="137" t="s">
        <v>64</v>
      </c>
      <c r="C13" s="74"/>
      <c r="D13" s="70" t="s">
        <v>46</v>
      </c>
      <c r="E13" s="735" t="s">
        <v>46</v>
      </c>
      <c r="F13" s="74"/>
      <c r="G13" s="189"/>
      <c r="H13" s="70"/>
      <c r="I13" s="70" t="s">
        <v>626</v>
      </c>
      <c r="J13" s="70"/>
      <c r="K13" s="1164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62"/>
      <c r="CA13" s="1161" t="str">
        <f t="shared" si="3"/>
        <v>Нет оценок</v>
      </c>
      <c r="CB13" s="1158">
        <f t="shared" si="4"/>
        <v>0</v>
      </c>
      <c r="CC13" s="77">
        <f t="shared" si="5"/>
        <v>2</v>
      </c>
    </row>
    <row r="14" spans="1:81" ht="15" customHeight="1">
      <c r="A14" s="146" t="s">
        <v>65</v>
      </c>
      <c r="B14" s="151" t="s">
        <v>66</v>
      </c>
      <c r="C14" s="101"/>
      <c r="D14" s="103"/>
      <c r="E14" s="726">
        <v>5</v>
      </c>
      <c r="F14" s="101"/>
      <c r="G14" s="1159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162"/>
      <c r="CA14" s="1163">
        <f t="shared" si="3"/>
        <v>5</v>
      </c>
      <c r="CB14" s="1158">
        <f t="shared" si="4"/>
        <v>0</v>
      </c>
      <c r="CC14" s="77">
        <f t="shared" si="5"/>
        <v>0</v>
      </c>
    </row>
    <row r="15" spans="1:81" ht="15" customHeight="1">
      <c r="A15" s="149" t="s">
        <v>67</v>
      </c>
      <c r="B15" s="970" t="s">
        <v>68</v>
      </c>
      <c r="C15" s="80"/>
      <c r="D15" s="82"/>
      <c r="E15" s="934">
        <v>5</v>
      </c>
      <c r="F15" s="80"/>
      <c r="G15" s="23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4"/>
      <c r="CA15" s="1157">
        <f t="shared" si="3"/>
        <v>5</v>
      </c>
      <c r="CB15" s="1158">
        <f t="shared" si="4"/>
        <v>0</v>
      </c>
      <c r="CC15" s="77">
        <f t="shared" si="5"/>
        <v>0</v>
      </c>
    </row>
    <row r="16" spans="1:81" ht="15" customHeight="1">
      <c r="A16" s="144" t="s">
        <v>69</v>
      </c>
      <c r="B16" s="137" t="s">
        <v>70</v>
      </c>
      <c r="C16" s="74"/>
      <c r="D16" s="70" t="s">
        <v>46</v>
      </c>
      <c r="E16" s="735">
        <v>5</v>
      </c>
      <c r="F16" s="74"/>
      <c r="G16" s="1159" t="s">
        <v>46</v>
      </c>
      <c r="H16" s="70"/>
      <c r="I16" s="70" t="s">
        <v>627</v>
      </c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62"/>
      <c r="CA16" s="1161">
        <f t="shared" si="3"/>
        <v>5</v>
      </c>
      <c r="CB16" s="1158">
        <f t="shared" si="4"/>
        <v>0</v>
      </c>
      <c r="CC16" s="77">
        <f t="shared" si="5"/>
        <v>2</v>
      </c>
    </row>
    <row r="17" spans="1:81" ht="15" customHeight="1">
      <c r="A17" s="144" t="s">
        <v>71</v>
      </c>
      <c r="B17" s="137" t="s">
        <v>72</v>
      </c>
      <c r="C17" s="74" t="s">
        <v>46</v>
      </c>
      <c r="D17" s="70"/>
      <c r="E17" s="735">
        <v>5</v>
      </c>
      <c r="F17" s="74" t="s">
        <v>46</v>
      </c>
      <c r="G17" s="189" t="s">
        <v>46</v>
      </c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62"/>
      <c r="CA17" s="1161">
        <f t="shared" si="3"/>
        <v>5</v>
      </c>
      <c r="CB17" s="1158">
        <f t="shared" si="4"/>
        <v>0</v>
      </c>
      <c r="CC17" s="77">
        <f t="shared" si="5"/>
        <v>3</v>
      </c>
    </row>
    <row r="18" spans="1:81" ht="15" customHeight="1">
      <c r="A18" s="144" t="s">
        <v>73</v>
      </c>
      <c r="B18" s="137" t="s">
        <v>74</v>
      </c>
      <c r="C18" s="74"/>
      <c r="D18" s="70" t="s">
        <v>46</v>
      </c>
      <c r="E18" s="735" t="s">
        <v>46</v>
      </c>
      <c r="F18" s="74"/>
      <c r="G18" s="1159" t="s">
        <v>46</v>
      </c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62"/>
      <c r="CA18" s="1161" t="str">
        <f t="shared" si="3"/>
        <v>Нет оценок</v>
      </c>
      <c r="CB18" s="1158">
        <f t="shared" si="4"/>
        <v>0</v>
      </c>
      <c r="CC18" s="77">
        <f t="shared" si="5"/>
        <v>3</v>
      </c>
    </row>
    <row r="19" spans="1:81" ht="15" customHeight="1">
      <c r="A19" s="146" t="s">
        <v>75</v>
      </c>
      <c r="B19" s="151" t="s">
        <v>76</v>
      </c>
      <c r="C19" s="101"/>
      <c r="D19" s="103"/>
      <c r="E19" s="726">
        <v>5</v>
      </c>
      <c r="F19" s="101"/>
      <c r="G19" s="218"/>
      <c r="H19" s="103" t="s">
        <v>46</v>
      </c>
      <c r="I19" s="103" t="s">
        <v>628</v>
      </c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162"/>
      <c r="CA19" s="1163">
        <f t="shared" si="3"/>
        <v>5</v>
      </c>
      <c r="CB19" s="1158">
        <f t="shared" si="4"/>
        <v>0</v>
      </c>
      <c r="CC19" s="77">
        <f t="shared" si="5"/>
        <v>1</v>
      </c>
    </row>
    <row r="20" spans="1:81" ht="15" customHeight="1">
      <c r="A20" s="149" t="s">
        <v>77</v>
      </c>
      <c r="B20" s="970" t="s">
        <v>78</v>
      </c>
      <c r="C20" s="80"/>
      <c r="D20" s="82" t="s">
        <v>46</v>
      </c>
      <c r="E20" s="934">
        <v>5</v>
      </c>
      <c r="F20" s="80" t="s">
        <v>46</v>
      </c>
      <c r="G20" s="1159"/>
      <c r="H20" s="82" t="s">
        <v>46</v>
      </c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82"/>
      <c r="BZ20" s="84"/>
      <c r="CA20" s="1157">
        <f t="shared" si="3"/>
        <v>5</v>
      </c>
      <c r="CB20" s="1158">
        <f t="shared" si="4"/>
        <v>0</v>
      </c>
      <c r="CC20" s="77">
        <f t="shared" si="5"/>
        <v>3</v>
      </c>
    </row>
    <row r="21" spans="1:81" ht="15" customHeight="1">
      <c r="A21" s="144" t="s">
        <v>79</v>
      </c>
      <c r="B21" s="137" t="s">
        <v>80</v>
      </c>
      <c r="C21" s="74"/>
      <c r="D21" s="70" t="s">
        <v>46</v>
      </c>
      <c r="E21" s="735">
        <v>5</v>
      </c>
      <c r="F21" s="74"/>
      <c r="G21" s="189" t="s">
        <v>46</v>
      </c>
      <c r="H21" s="70"/>
      <c r="I21" s="70" t="s">
        <v>628</v>
      </c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62"/>
      <c r="CA21" s="1161">
        <f t="shared" si="3"/>
        <v>5</v>
      </c>
      <c r="CB21" s="1158">
        <f t="shared" si="4"/>
        <v>0</v>
      </c>
      <c r="CC21" s="77">
        <f t="shared" si="5"/>
        <v>2</v>
      </c>
    </row>
    <row r="22" spans="1:81" ht="15" customHeight="1">
      <c r="A22" s="144" t="s">
        <v>81</v>
      </c>
      <c r="B22" s="137" t="s">
        <v>82</v>
      </c>
      <c r="C22" s="74"/>
      <c r="D22" s="70"/>
      <c r="E22" s="735">
        <v>5</v>
      </c>
      <c r="F22" s="74"/>
      <c r="G22" s="1159"/>
      <c r="H22" s="70"/>
      <c r="I22" s="70" t="s">
        <v>624</v>
      </c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62"/>
      <c r="CA22" s="1161">
        <f t="shared" si="3"/>
        <v>5</v>
      </c>
      <c r="CB22" s="1158">
        <f t="shared" si="4"/>
        <v>0</v>
      </c>
      <c r="CC22" s="77">
        <f t="shared" si="5"/>
        <v>0</v>
      </c>
    </row>
    <row r="23" spans="1:81" ht="15" customHeight="1">
      <c r="A23" s="144" t="s">
        <v>83</v>
      </c>
      <c r="B23" s="137" t="s">
        <v>84</v>
      </c>
      <c r="C23" s="74" t="s">
        <v>46</v>
      </c>
      <c r="D23" s="70" t="s">
        <v>46</v>
      </c>
      <c r="E23" s="735" t="s">
        <v>46</v>
      </c>
      <c r="F23" s="74"/>
      <c r="G23" s="189" t="s">
        <v>46</v>
      </c>
      <c r="H23" s="70" t="s">
        <v>46</v>
      </c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62"/>
      <c r="CA23" s="1161" t="str">
        <f t="shared" si="3"/>
        <v>Нет оценок</v>
      </c>
      <c r="CB23" s="1158">
        <f t="shared" si="4"/>
        <v>0</v>
      </c>
      <c r="CC23" s="77">
        <f t="shared" si="5"/>
        <v>5</v>
      </c>
    </row>
    <row r="24" spans="1:81" ht="15" customHeight="1">
      <c r="A24" s="154" t="s">
        <v>27</v>
      </c>
      <c r="B24" s="151" t="s">
        <v>85</v>
      </c>
      <c r="C24" s="101"/>
      <c r="D24" s="103"/>
      <c r="E24" s="726">
        <v>5</v>
      </c>
      <c r="F24" s="101"/>
      <c r="G24" s="1159"/>
      <c r="H24" s="103"/>
      <c r="I24" s="103" t="s">
        <v>625</v>
      </c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162"/>
      <c r="CA24" s="1163">
        <f t="shared" si="3"/>
        <v>5</v>
      </c>
      <c r="CB24" s="1158">
        <f t="shared" si="4"/>
        <v>0</v>
      </c>
      <c r="CC24" s="77">
        <f t="shared" si="5"/>
        <v>0</v>
      </c>
    </row>
    <row r="25" spans="1:81" ht="15" customHeight="1">
      <c r="A25" s="156" t="s">
        <v>86</v>
      </c>
      <c r="B25" s="970" t="s">
        <v>87</v>
      </c>
      <c r="C25" s="80" t="s">
        <v>46</v>
      </c>
      <c r="D25" s="82" t="s">
        <v>46</v>
      </c>
      <c r="E25" s="934" t="s">
        <v>46</v>
      </c>
      <c r="F25" s="80" t="s">
        <v>46</v>
      </c>
      <c r="G25" s="232" t="s">
        <v>46</v>
      </c>
      <c r="H25" s="82" t="s">
        <v>46</v>
      </c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82"/>
      <c r="BU25" s="82"/>
      <c r="BV25" s="82"/>
      <c r="BW25" s="82"/>
      <c r="BX25" s="82"/>
      <c r="BY25" s="82"/>
      <c r="BZ25" s="84"/>
      <c r="CA25" s="1157" t="str">
        <f t="shared" si="3"/>
        <v>Нет оценок</v>
      </c>
      <c r="CB25" s="1158">
        <f t="shared" si="4"/>
        <v>0</v>
      </c>
      <c r="CC25" s="77">
        <f t="shared" si="5"/>
        <v>6</v>
      </c>
    </row>
    <row r="26" spans="1:81" ht="15" hidden="1" customHeight="1">
      <c r="A26" s="139" t="s">
        <v>86</v>
      </c>
      <c r="B26" s="137" t="s">
        <v>88</v>
      </c>
      <c r="C26" s="74"/>
      <c r="D26" s="70"/>
      <c r="E26" s="735"/>
      <c r="F26" s="74"/>
      <c r="G26" s="1159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62"/>
      <c r="CA26" s="1161" t="str">
        <f t="shared" si="3"/>
        <v>Нет оценок</v>
      </c>
      <c r="CB26" s="1158">
        <f t="shared" si="4"/>
        <v>0</v>
      </c>
      <c r="CC26" s="77">
        <f t="shared" si="5"/>
        <v>0</v>
      </c>
    </row>
    <row r="27" spans="1:81" ht="15" customHeight="1">
      <c r="A27" s="139" t="s">
        <v>89</v>
      </c>
      <c r="B27" s="1165" t="s">
        <v>90</v>
      </c>
      <c r="C27" s="74"/>
      <c r="D27" s="70"/>
      <c r="E27" s="735">
        <v>5</v>
      </c>
      <c r="F27" s="74"/>
      <c r="G27" s="189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62"/>
      <c r="CA27" s="1161">
        <f t="shared" si="3"/>
        <v>5</v>
      </c>
      <c r="CB27" s="1158">
        <f t="shared" si="4"/>
        <v>0</v>
      </c>
      <c r="CC27" s="77">
        <f t="shared" si="5"/>
        <v>0</v>
      </c>
    </row>
    <row r="28" spans="1:81" ht="15" customHeight="1">
      <c r="A28" s="139" t="s">
        <v>91</v>
      </c>
      <c r="B28" s="1166" t="s">
        <v>92</v>
      </c>
      <c r="C28" s="74"/>
      <c r="D28" s="70" t="s">
        <v>46</v>
      </c>
      <c r="E28" s="735">
        <v>5</v>
      </c>
      <c r="F28" s="74"/>
      <c r="G28" s="189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62"/>
      <c r="CA28" s="1161">
        <f t="shared" si="3"/>
        <v>5</v>
      </c>
      <c r="CB28" s="1158">
        <f t="shared" si="4"/>
        <v>0</v>
      </c>
      <c r="CC28" s="77">
        <f t="shared" si="5"/>
        <v>1</v>
      </c>
    </row>
    <row r="29" spans="1:81" ht="15.75">
      <c r="A29" s="448"/>
      <c r="B29" s="448"/>
      <c r="C29" s="448"/>
      <c r="D29" s="448"/>
      <c r="E29" s="448"/>
      <c r="F29" s="448"/>
      <c r="CA29" s="1167">
        <f>IFERROR(AVERAGE(CA5:CA28),"")</f>
        <v>5</v>
      </c>
      <c r="CB29" s="128">
        <f>SUM(CB5:CB28)</f>
        <v>0</v>
      </c>
      <c r="CC29" s="128">
        <f>SUM(CC5:CC28)</f>
        <v>41</v>
      </c>
    </row>
    <row r="30" spans="1:81" ht="15.75">
      <c r="A30" s="165" t="s">
        <v>93</v>
      </c>
      <c r="B30" s="165" t="s">
        <v>94</v>
      </c>
      <c r="I30" s="1168"/>
    </row>
    <row r="31" spans="1:81" ht="30">
      <c r="A31" s="1169">
        <v>46034</v>
      </c>
      <c r="B31" s="168" t="s">
        <v>629</v>
      </c>
    </row>
    <row r="32" spans="1:81" ht="30">
      <c r="A32" s="1169">
        <v>46042</v>
      </c>
      <c r="B32" s="168" t="s">
        <v>630</v>
      </c>
    </row>
    <row r="33" spans="1:2" ht="30">
      <c r="A33" s="1169">
        <v>46048</v>
      </c>
      <c r="B33" s="168" t="s">
        <v>630</v>
      </c>
    </row>
    <row r="34" spans="1:2" ht="30">
      <c r="A34" s="1169">
        <v>46058</v>
      </c>
      <c r="B34" s="168" t="s">
        <v>631</v>
      </c>
    </row>
    <row r="35" spans="1:2">
      <c r="A35" s="1169">
        <v>46072</v>
      </c>
      <c r="B35" s="168" t="s">
        <v>632</v>
      </c>
    </row>
    <row r="36" spans="1:2">
      <c r="A36" s="1169">
        <v>46073</v>
      </c>
      <c r="B36" s="168" t="s">
        <v>633</v>
      </c>
    </row>
    <row r="37" spans="1:2">
      <c r="A37" s="1169"/>
      <c r="B37" s="168"/>
    </row>
    <row r="38" spans="1:2">
      <c r="A38" s="1169"/>
      <c r="B38" s="168"/>
    </row>
    <row r="39" spans="1:2">
      <c r="A39" s="1169"/>
      <c r="B39" s="168"/>
    </row>
    <row r="40" spans="1:2">
      <c r="A40" s="1169"/>
      <c r="B40" s="168"/>
    </row>
    <row r="41" spans="1:2">
      <c r="A41" s="1169"/>
      <c r="B41" s="168"/>
    </row>
    <row r="42" spans="1:2">
      <c r="A42" s="1169"/>
      <c r="B42" s="168"/>
    </row>
    <row r="43" spans="1:2">
      <c r="A43" s="1169"/>
      <c r="B43" s="168"/>
    </row>
    <row r="44" spans="1:2">
      <c r="A44" s="1169"/>
      <c r="B44" s="168"/>
    </row>
    <row r="45" spans="1:2">
      <c r="A45" s="1169"/>
      <c r="B45" s="168"/>
    </row>
    <row r="46" spans="1:2">
      <c r="A46" s="1169"/>
      <c r="B46" s="168"/>
    </row>
    <row r="47" spans="1:2">
      <c r="A47" s="1169"/>
      <c r="B47" s="168"/>
    </row>
    <row r="48" spans="1:2">
      <c r="A48" s="1169"/>
      <c r="B48" s="168"/>
    </row>
    <row r="49" spans="1:2">
      <c r="A49" s="1169"/>
      <c r="B49" s="168"/>
    </row>
    <row r="50" spans="1:2">
      <c r="A50" s="1169"/>
      <c r="B50" s="168"/>
    </row>
    <row r="51" spans="1:2">
      <c r="A51" s="1169"/>
      <c r="B51" s="168"/>
    </row>
    <row r="52" spans="1:2">
      <c r="A52" s="1169"/>
      <c r="B52" s="168"/>
    </row>
    <row r="53" spans="1:2">
      <c r="A53" s="1169"/>
      <c r="B53" s="168"/>
    </row>
    <row r="54" spans="1:2">
      <c r="A54" s="1169"/>
      <c r="B54" s="168"/>
    </row>
    <row r="55" spans="1:2">
      <c r="A55" s="1169"/>
      <c r="B55" s="168"/>
    </row>
    <row r="56" spans="1:2">
      <c r="A56" s="1169"/>
      <c r="B56" s="168"/>
    </row>
    <row r="57" spans="1:2">
      <c r="A57" s="1169"/>
      <c r="B57" s="168"/>
    </row>
    <row r="58" spans="1:2">
      <c r="A58" s="1169"/>
      <c r="B58" s="168"/>
    </row>
    <row r="59" spans="1:2">
      <c r="A59" s="1169"/>
      <c r="B59" s="168"/>
    </row>
    <row r="60" spans="1:2">
      <c r="A60" s="1169"/>
      <c r="B60" s="168"/>
    </row>
    <row r="61" spans="1:2">
      <c r="A61" s="1169"/>
      <c r="B61" s="168"/>
    </row>
    <row r="62" spans="1:2">
      <c r="A62" s="1169"/>
      <c r="B62" s="168"/>
    </row>
    <row r="63" spans="1:2">
      <c r="A63" s="1169"/>
      <c r="B63" s="168"/>
    </row>
    <row r="64" spans="1:2">
      <c r="A64" s="1169"/>
      <c r="B64" s="168"/>
    </row>
    <row r="65" spans="1:2">
      <c r="A65" s="1169"/>
      <c r="B65" s="168"/>
    </row>
    <row r="66" spans="1:2">
      <c r="A66" s="1169"/>
      <c r="B66" s="168"/>
    </row>
  </sheetData>
  <mergeCells count="8">
    <mergeCell ref="CB3:CC3"/>
    <mergeCell ref="A1:B1"/>
    <mergeCell ref="C1:BZ1"/>
    <mergeCell ref="A2:B2"/>
    <mergeCell ref="C2:BZ2"/>
    <mergeCell ref="A3:A4"/>
    <mergeCell ref="C3:E3"/>
    <mergeCell ref="F3:H3"/>
  </mergeCells>
  <conditionalFormatting sqref="CC5:CC28">
    <cfRule type="cellIs" dxfId="9" priority="2" operator="greaterThan">
      <formula>0</formula>
    </cfRule>
  </conditionalFormatting>
  <conditionalFormatting sqref="CA5:CA29">
    <cfRule type="cellIs" dxfId="8" priority="1" operator="lessThan">
      <formula>3</formula>
    </cfRule>
  </conditionalFormatting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 tint="0.79998168889431442"/>
  </sheetPr>
  <dimension ref="A1:AC79"/>
  <sheetViews>
    <sheetView workbookViewId="0">
      <selection activeCell="T11" sqref="T11"/>
    </sheetView>
  </sheetViews>
  <sheetFormatPr defaultRowHeight="15"/>
  <cols>
    <col min="2" max="2" width="34.44140625" customWidth="1"/>
    <col min="3" max="25" width="2.88671875" customWidth="1"/>
    <col min="26" max="26" width="6.33203125" customWidth="1"/>
    <col min="27" max="27" width="11.109375" customWidth="1"/>
  </cols>
  <sheetData>
    <row r="1" spans="1:29" ht="24.75" customHeight="1">
      <c r="A1" s="1441" t="s">
        <v>38</v>
      </c>
      <c r="B1" s="1441"/>
      <c r="C1" s="1419" t="s">
        <v>634</v>
      </c>
      <c r="D1" s="1419"/>
      <c r="E1" s="1419"/>
      <c r="F1" s="1419"/>
      <c r="G1" s="1419"/>
      <c r="H1" s="1419"/>
      <c r="I1" s="1419"/>
      <c r="J1" s="1419"/>
      <c r="K1" s="1419"/>
      <c r="L1" s="1419"/>
      <c r="M1" s="1419"/>
      <c r="N1" s="1419"/>
      <c r="O1" s="1419"/>
      <c r="P1" s="1419"/>
      <c r="Q1" s="1419"/>
      <c r="R1" s="1419"/>
      <c r="S1" s="1419"/>
      <c r="T1" s="1419"/>
      <c r="U1" s="1419"/>
      <c r="V1" s="1419"/>
      <c r="W1" s="1419"/>
      <c r="X1" s="1419"/>
      <c r="Y1" s="1419"/>
      <c r="Z1" s="1419"/>
      <c r="AA1" s="1"/>
      <c r="AB1" s="1"/>
      <c r="AC1" s="1"/>
    </row>
    <row r="2" spans="1:29" ht="24.75" customHeight="1">
      <c r="A2" s="1441" t="s">
        <v>39</v>
      </c>
      <c r="B2" s="1441"/>
      <c r="C2" s="1419" t="s">
        <v>145</v>
      </c>
      <c r="D2" s="1419"/>
      <c r="E2" s="1419"/>
      <c r="F2" s="1419"/>
      <c r="G2" s="1419"/>
      <c r="H2" s="1419"/>
      <c r="I2" s="1419"/>
      <c r="J2" s="1419"/>
      <c r="K2" s="1419"/>
      <c r="L2" s="1419"/>
      <c r="M2" s="1419"/>
      <c r="N2" s="1419"/>
      <c r="O2" s="1419"/>
      <c r="P2" s="1419"/>
      <c r="Q2" s="1419"/>
      <c r="R2" s="1419"/>
      <c r="S2" s="1419"/>
      <c r="T2" s="1419"/>
      <c r="U2" s="1419"/>
      <c r="V2" s="1419"/>
      <c r="W2" s="1419"/>
      <c r="X2" s="1419"/>
      <c r="Y2" s="1419"/>
      <c r="Z2" s="1419"/>
      <c r="AA2" s="1"/>
      <c r="AB2" s="1"/>
      <c r="AC2" s="1"/>
    </row>
    <row r="3" spans="1:29" ht="15" customHeight="1">
      <c r="A3" s="1452" t="s">
        <v>41</v>
      </c>
      <c r="B3" s="1128" t="s">
        <v>42</v>
      </c>
      <c r="C3" s="1453" t="s">
        <v>150</v>
      </c>
      <c r="D3" s="1454"/>
      <c r="E3" s="1455"/>
      <c r="F3" s="1454" t="s">
        <v>151</v>
      </c>
      <c r="G3" s="1454"/>
      <c r="H3" s="1455"/>
      <c r="I3" s="1444" t="s">
        <v>456</v>
      </c>
      <c r="J3" s="1444"/>
      <c r="K3" s="1456"/>
      <c r="L3" s="1444" t="s">
        <v>153</v>
      </c>
      <c r="M3" s="1444"/>
      <c r="N3" s="1444"/>
      <c r="O3" s="1444"/>
      <c r="P3" s="1457"/>
      <c r="Q3" s="917"/>
      <c r="R3" s="917"/>
      <c r="S3" s="917"/>
      <c r="T3" s="917"/>
      <c r="U3" s="917"/>
      <c r="V3" s="917"/>
      <c r="W3" s="917"/>
      <c r="X3" s="917"/>
      <c r="Y3" s="1170"/>
      <c r="Z3" s="316" t="s">
        <v>207</v>
      </c>
      <c r="AA3" s="1458" t="s">
        <v>33</v>
      </c>
      <c r="AB3" s="1459" t="s">
        <v>0</v>
      </c>
      <c r="AC3" s="1459"/>
    </row>
    <row r="4" spans="1:29" ht="15" customHeight="1">
      <c r="A4" s="1442"/>
      <c r="B4" s="1130" t="s">
        <v>43</v>
      </c>
      <c r="C4" s="1171">
        <v>15</v>
      </c>
      <c r="D4" s="58">
        <v>24</v>
      </c>
      <c r="E4" s="1172">
        <v>29</v>
      </c>
      <c r="F4" s="1086">
        <v>17</v>
      </c>
      <c r="G4" s="381">
        <v>17</v>
      </c>
      <c r="H4" s="1172">
        <v>20</v>
      </c>
      <c r="I4" s="1086">
        <v>10</v>
      </c>
      <c r="J4" s="381">
        <v>13</v>
      </c>
      <c r="K4" s="1172">
        <v>30</v>
      </c>
      <c r="L4" s="1173">
        <v>1</v>
      </c>
      <c r="M4" s="928">
        <v>1</v>
      </c>
      <c r="N4" s="928">
        <v>6</v>
      </c>
      <c r="O4" s="928">
        <v>7</v>
      </c>
      <c r="P4" s="928">
        <v>7</v>
      </c>
      <c r="Q4" s="928"/>
      <c r="R4" s="928"/>
      <c r="S4" s="928"/>
      <c r="T4" s="928"/>
      <c r="U4" s="928"/>
      <c r="V4" s="928"/>
      <c r="W4" s="928"/>
      <c r="X4" s="928"/>
      <c r="Y4" s="1174"/>
      <c r="Z4" s="318" t="s">
        <v>32</v>
      </c>
      <c r="AA4" s="1458"/>
      <c r="AB4" s="1088" t="s">
        <v>5</v>
      </c>
      <c r="AC4" s="1088" t="s">
        <v>6</v>
      </c>
    </row>
    <row r="5" spans="1:29" ht="15" customHeight="1">
      <c r="A5" s="136" t="s">
        <v>44</v>
      </c>
      <c r="B5" s="1133" t="s">
        <v>50</v>
      </c>
      <c r="C5" s="78"/>
      <c r="D5" s="82"/>
      <c r="E5" s="1175"/>
      <c r="F5" s="1089"/>
      <c r="G5" s="1176"/>
      <c r="H5" s="1175"/>
      <c r="I5" s="1177"/>
      <c r="J5" s="1176">
        <v>5</v>
      </c>
      <c r="K5" s="1175"/>
      <c r="L5" s="1178" t="s">
        <v>635</v>
      </c>
      <c r="M5" s="1176">
        <v>5</v>
      </c>
      <c r="N5" s="1179"/>
      <c r="O5" s="1176">
        <v>3</v>
      </c>
      <c r="P5" s="1176"/>
      <c r="Q5" s="1176"/>
      <c r="R5" s="1176"/>
      <c r="S5" s="1176"/>
      <c r="T5" s="1176"/>
      <c r="U5" s="1176"/>
      <c r="V5" s="1176"/>
      <c r="W5" s="1176"/>
      <c r="X5" s="1176"/>
      <c r="Y5" s="1175"/>
      <c r="Z5" s="1180"/>
      <c r="AA5" s="775">
        <f t="shared" ref="AA5:AA9" si="0">IFERROR(AVERAGE(C5:Z5),"Нет оценок")</f>
        <v>4.333333333333333</v>
      </c>
      <c r="AB5" s="766">
        <f t="shared" ref="AB5:AB9" si="1">COUNTIF(C5:Z5,"н/у")</f>
        <v>0</v>
      </c>
      <c r="AC5" s="766">
        <f t="shared" ref="AC5:AC9" si="2">COUNTIF(C5:Z5,"н")</f>
        <v>0</v>
      </c>
    </row>
    <row r="6" spans="1:29" ht="15" customHeight="1">
      <c r="A6" s="139" t="s">
        <v>49</v>
      </c>
      <c r="B6" s="343" t="s">
        <v>45</v>
      </c>
      <c r="C6" s="61"/>
      <c r="D6" s="70"/>
      <c r="E6" s="1181">
        <v>2</v>
      </c>
      <c r="F6" s="1091"/>
      <c r="G6" s="1105"/>
      <c r="H6" s="1181" t="s">
        <v>46</v>
      </c>
      <c r="I6" s="1091" t="s">
        <v>46</v>
      </c>
      <c r="J6" s="1105" t="s">
        <v>46</v>
      </c>
      <c r="K6" s="1181"/>
      <c r="L6" s="1182">
        <v>3</v>
      </c>
      <c r="M6" s="1105">
        <v>5</v>
      </c>
      <c r="N6" s="1105" t="s">
        <v>46</v>
      </c>
      <c r="O6" s="1105" t="s">
        <v>46</v>
      </c>
      <c r="P6" s="1105" t="s">
        <v>46</v>
      </c>
      <c r="Q6" s="1105"/>
      <c r="R6" s="1105"/>
      <c r="S6" s="1105"/>
      <c r="T6" s="1105"/>
      <c r="U6" s="1105"/>
      <c r="V6" s="1105"/>
      <c r="W6" s="1105"/>
      <c r="X6" s="1105"/>
      <c r="Y6" s="1181"/>
      <c r="Z6" s="1183"/>
      <c r="AA6" s="775">
        <f t="shared" si="0"/>
        <v>3.3333333333333335</v>
      </c>
      <c r="AB6" s="766">
        <f t="shared" si="1"/>
        <v>0</v>
      </c>
      <c r="AC6" s="766">
        <f t="shared" si="2"/>
        <v>6</v>
      </c>
    </row>
    <row r="7" spans="1:29" ht="15" customHeight="1">
      <c r="A7" s="204" t="s">
        <v>51</v>
      </c>
      <c r="B7" s="137" t="s">
        <v>52</v>
      </c>
      <c r="C7" s="61"/>
      <c r="D7" s="70"/>
      <c r="E7" s="1181">
        <v>5</v>
      </c>
      <c r="F7" s="1091"/>
      <c r="G7" s="1105"/>
      <c r="H7" s="1181"/>
      <c r="I7" s="194"/>
      <c r="J7" s="1105">
        <v>5</v>
      </c>
      <c r="K7" s="1181"/>
      <c r="L7" s="194">
        <v>5</v>
      </c>
      <c r="M7" s="1105">
        <v>5</v>
      </c>
      <c r="N7" s="1105" t="s">
        <v>46</v>
      </c>
      <c r="O7" s="1105">
        <v>5</v>
      </c>
      <c r="P7" s="1105"/>
      <c r="Q7" s="1105"/>
      <c r="R7" s="1105"/>
      <c r="S7" s="1105"/>
      <c r="T7" s="1105"/>
      <c r="U7" s="1105"/>
      <c r="V7" s="1105"/>
      <c r="W7" s="1105"/>
      <c r="X7" s="1105"/>
      <c r="Y7" s="1181"/>
      <c r="Z7" s="1183"/>
      <c r="AA7" s="775">
        <f t="shared" si="0"/>
        <v>5</v>
      </c>
      <c r="AB7" s="766">
        <f t="shared" si="1"/>
        <v>0</v>
      </c>
      <c r="AC7" s="766">
        <f t="shared" si="2"/>
        <v>1</v>
      </c>
    </row>
    <row r="8" spans="1:29" ht="15" customHeight="1">
      <c r="A8" s="144" t="s">
        <v>53</v>
      </c>
      <c r="B8" s="137" t="s">
        <v>54</v>
      </c>
      <c r="C8" s="61"/>
      <c r="D8" s="70"/>
      <c r="E8" s="1181">
        <v>4</v>
      </c>
      <c r="F8" s="1091"/>
      <c r="G8" s="1105"/>
      <c r="H8" s="1181" t="s">
        <v>46</v>
      </c>
      <c r="I8" s="1091" t="s">
        <v>46</v>
      </c>
      <c r="J8" s="1105" t="s">
        <v>46</v>
      </c>
      <c r="K8" s="1181"/>
      <c r="L8" s="1182">
        <v>5</v>
      </c>
      <c r="M8" s="1105">
        <v>5</v>
      </c>
      <c r="N8" s="1105">
        <v>5</v>
      </c>
      <c r="O8" s="1105">
        <v>4</v>
      </c>
      <c r="P8" s="1105"/>
      <c r="Q8" s="1105"/>
      <c r="R8" s="1105"/>
      <c r="S8" s="1105"/>
      <c r="T8" s="1105"/>
      <c r="U8" s="1105"/>
      <c r="V8" s="1105"/>
      <c r="W8" s="1105"/>
      <c r="X8" s="1105"/>
      <c r="Y8" s="1181"/>
      <c r="Z8" s="1183"/>
      <c r="AA8" s="775">
        <f t="shared" si="0"/>
        <v>4.5999999999999996</v>
      </c>
      <c r="AB8" s="766">
        <f t="shared" si="1"/>
        <v>0</v>
      </c>
      <c r="AC8" s="766">
        <f t="shared" si="2"/>
        <v>3</v>
      </c>
    </row>
    <row r="9" spans="1:29" ht="15" customHeight="1">
      <c r="A9" s="146" t="s">
        <v>55</v>
      </c>
      <c r="B9" s="151" t="s">
        <v>56</v>
      </c>
      <c r="C9" s="716"/>
      <c r="D9" s="103"/>
      <c r="E9" s="1184">
        <v>5</v>
      </c>
      <c r="F9" s="1097"/>
      <c r="G9" s="1185"/>
      <c r="H9" s="1184" t="s">
        <v>46</v>
      </c>
      <c r="I9" s="1186"/>
      <c r="J9" s="1185"/>
      <c r="K9" s="1184"/>
      <c r="L9" s="1187">
        <v>5</v>
      </c>
      <c r="M9" s="1185">
        <v>5</v>
      </c>
      <c r="N9" s="253"/>
      <c r="O9" s="1185">
        <v>5</v>
      </c>
      <c r="P9" s="1185"/>
      <c r="Q9" s="1185"/>
      <c r="R9" s="1185"/>
      <c r="S9" s="1185"/>
      <c r="T9" s="1185"/>
      <c r="U9" s="1185"/>
      <c r="V9" s="1185"/>
      <c r="W9" s="1185"/>
      <c r="X9" s="1185"/>
      <c r="Y9" s="1184"/>
      <c r="Z9" s="1188"/>
      <c r="AA9" s="775">
        <f t="shared" si="0"/>
        <v>5</v>
      </c>
      <c r="AB9" s="766">
        <f t="shared" si="1"/>
        <v>0</v>
      </c>
      <c r="AC9" s="766">
        <f t="shared" si="2"/>
        <v>1</v>
      </c>
    </row>
    <row r="10" spans="1:29" ht="15" customHeight="1">
      <c r="A10" s="149" t="s">
        <v>57</v>
      </c>
      <c r="B10" s="970" t="s">
        <v>636</v>
      </c>
      <c r="C10" s="78"/>
      <c r="D10" s="82"/>
      <c r="E10" s="1175">
        <v>5</v>
      </c>
      <c r="F10" s="1089"/>
      <c r="G10" s="1176"/>
      <c r="H10" s="1175"/>
      <c r="I10" s="1089">
        <v>5</v>
      </c>
      <c r="J10" s="1176">
        <v>5</v>
      </c>
      <c r="K10" s="1175"/>
      <c r="L10" s="1177">
        <v>5</v>
      </c>
      <c r="M10" s="1176">
        <v>5</v>
      </c>
      <c r="N10" s="1179">
        <v>5</v>
      </c>
      <c r="O10" s="1176">
        <v>5</v>
      </c>
      <c r="P10" s="1176"/>
      <c r="Q10" s="1176"/>
      <c r="R10" s="1176"/>
      <c r="S10" s="1176"/>
      <c r="T10" s="1176"/>
      <c r="U10" s="1176"/>
      <c r="V10" s="1176"/>
      <c r="W10" s="1176"/>
      <c r="X10" s="1176"/>
      <c r="Y10" s="1175"/>
      <c r="Z10" s="1180"/>
      <c r="AA10" s="775">
        <f t="shared" ref="AA10:AA28" si="3">IFERROR(AVERAGE(C10:Z10),"Нет оценок")</f>
        <v>5</v>
      </c>
      <c r="AB10" s="766">
        <f t="shared" ref="AB10:AB28" si="4">COUNTIF(C10:Z10,"н/у")</f>
        <v>0</v>
      </c>
      <c r="AC10" s="766">
        <f t="shared" ref="AC10:AC28" si="5">COUNTIF(C10:Z10,"н")</f>
        <v>0</v>
      </c>
    </row>
    <row r="11" spans="1:29" ht="15" customHeight="1">
      <c r="A11" s="144" t="s">
        <v>59</v>
      </c>
      <c r="B11" s="137" t="s">
        <v>60</v>
      </c>
      <c r="C11" s="61"/>
      <c r="D11" s="70"/>
      <c r="E11" s="1181">
        <v>4</v>
      </c>
      <c r="F11" s="1091"/>
      <c r="G11" s="1105"/>
      <c r="H11" s="1181"/>
      <c r="I11" s="1091">
        <v>5</v>
      </c>
      <c r="J11" s="1105">
        <v>5</v>
      </c>
      <c r="K11" s="1181"/>
      <c r="L11" s="1182">
        <v>5</v>
      </c>
      <c r="M11" s="1105">
        <v>5</v>
      </c>
      <c r="N11" s="1105">
        <v>5</v>
      </c>
      <c r="O11" s="1105">
        <v>5</v>
      </c>
      <c r="P11" s="1105"/>
      <c r="Q11" s="1105"/>
      <c r="R11" s="1105"/>
      <c r="S11" s="1105"/>
      <c r="T11" s="1105"/>
      <c r="U11" s="1105"/>
      <c r="V11" s="1105"/>
      <c r="W11" s="1105"/>
      <c r="X11" s="1105"/>
      <c r="Y11" s="1181"/>
      <c r="Z11" s="1183"/>
      <c r="AA11" s="775">
        <f t="shared" si="3"/>
        <v>4.8571428571428568</v>
      </c>
      <c r="AB11" s="766">
        <f t="shared" si="4"/>
        <v>0</v>
      </c>
      <c r="AC11" s="766">
        <f t="shared" si="5"/>
        <v>0</v>
      </c>
    </row>
    <row r="12" spans="1:29" ht="15" customHeight="1">
      <c r="A12" s="144" t="s">
        <v>61</v>
      </c>
      <c r="B12" s="137" t="s">
        <v>62</v>
      </c>
      <c r="C12" s="61"/>
      <c r="D12" s="70"/>
      <c r="E12" s="1181">
        <v>5</v>
      </c>
      <c r="F12" s="1091"/>
      <c r="G12" s="1105"/>
      <c r="H12" s="1181" t="s">
        <v>46</v>
      </c>
      <c r="I12" s="194"/>
      <c r="J12" s="1105"/>
      <c r="K12" s="1181"/>
      <c r="L12" s="1182">
        <v>5</v>
      </c>
      <c r="M12" s="1105">
        <v>5</v>
      </c>
      <c r="N12" s="1105">
        <v>4</v>
      </c>
      <c r="O12" s="1105">
        <v>5</v>
      </c>
      <c r="P12" s="1105"/>
      <c r="Q12" s="1105"/>
      <c r="R12" s="1105"/>
      <c r="S12" s="1105"/>
      <c r="T12" s="1105"/>
      <c r="U12" s="1105"/>
      <c r="V12" s="1105"/>
      <c r="W12" s="1105"/>
      <c r="X12" s="1105"/>
      <c r="Y12" s="1181"/>
      <c r="Z12" s="1183"/>
      <c r="AA12" s="775">
        <f t="shared" si="3"/>
        <v>4.8</v>
      </c>
      <c r="AB12" s="766">
        <f t="shared" si="4"/>
        <v>0</v>
      </c>
      <c r="AC12" s="766">
        <f t="shared" si="5"/>
        <v>1</v>
      </c>
    </row>
    <row r="13" spans="1:29" ht="15" customHeight="1">
      <c r="A13" s="144" t="s">
        <v>63</v>
      </c>
      <c r="B13" s="137" t="s">
        <v>64</v>
      </c>
      <c r="C13" s="61"/>
      <c r="D13" s="70"/>
      <c r="E13" s="1181">
        <v>2</v>
      </c>
      <c r="F13" s="1091"/>
      <c r="G13" s="1105"/>
      <c r="H13" s="1181"/>
      <c r="I13" s="1091" t="s">
        <v>46</v>
      </c>
      <c r="J13" s="1105" t="s">
        <v>46</v>
      </c>
      <c r="K13" s="1181"/>
      <c r="L13" s="1182" t="s">
        <v>46</v>
      </c>
      <c r="M13" s="1105" t="s">
        <v>46</v>
      </c>
      <c r="N13" s="1105">
        <v>5</v>
      </c>
      <c r="O13" s="188">
        <v>2</v>
      </c>
      <c r="P13" s="1105"/>
      <c r="Q13" s="1105"/>
      <c r="R13" s="1105"/>
      <c r="S13" s="1105"/>
      <c r="T13" s="1105"/>
      <c r="U13" s="1105"/>
      <c r="V13" s="1105"/>
      <c r="W13" s="1105"/>
      <c r="X13" s="1105"/>
      <c r="Y13" s="1181"/>
      <c r="Z13" s="1183"/>
      <c r="AA13" s="775">
        <f t="shared" si="3"/>
        <v>3</v>
      </c>
      <c r="AB13" s="766">
        <f t="shared" si="4"/>
        <v>0</v>
      </c>
      <c r="AC13" s="766">
        <f t="shared" si="5"/>
        <v>4</v>
      </c>
    </row>
    <row r="14" spans="1:29" ht="15" customHeight="1">
      <c r="A14" s="146" t="s">
        <v>65</v>
      </c>
      <c r="B14" s="151" t="s">
        <v>66</v>
      </c>
      <c r="C14" s="716"/>
      <c r="D14" s="103"/>
      <c r="E14" s="1184">
        <v>5</v>
      </c>
      <c r="F14" s="1097"/>
      <c r="G14" s="1185"/>
      <c r="H14" s="1184" t="s">
        <v>46</v>
      </c>
      <c r="I14" s="1186"/>
      <c r="J14" s="1185"/>
      <c r="K14" s="726" t="s">
        <v>48</v>
      </c>
      <c r="L14" s="1187">
        <v>5</v>
      </c>
      <c r="M14" s="1185">
        <v>5</v>
      </c>
      <c r="N14" s="1185"/>
      <c r="O14" s="1185">
        <v>5</v>
      </c>
      <c r="P14" s="1185"/>
      <c r="Q14" s="1185"/>
      <c r="R14" s="1185"/>
      <c r="S14" s="1185"/>
      <c r="T14" s="1185"/>
      <c r="U14" s="1185"/>
      <c r="V14" s="1185"/>
      <c r="W14" s="1185"/>
      <c r="X14" s="1185"/>
      <c r="Y14" s="1184"/>
      <c r="Z14" s="1188"/>
      <c r="AA14" s="775">
        <f t="shared" si="3"/>
        <v>5</v>
      </c>
      <c r="AB14" s="766">
        <f t="shared" si="4"/>
        <v>1</v>
      </c>
      <c r="AC14" s="766">
        <f t="shared" si="5"/>
        <v>1</v>
      </c>
    </row>
    <row r="15" spans="1:29" ht="15" customHeight="1">
      <c r="A15" s="149" t="s">
        <v>67</v>
      </c>
      <c r="B15" s="970" t="s">
        <v>68</v>
      </c>
      <c r="C15" s="78"/>
      <c r="D15" s="82"/>
      <c r="E15" s="1175">
        <v>2</v>
      </c>
      <c r="F15" s="1089"/>
      <c r="G15" s="1176"/>
      <c r="H15" s="1175"/>
      <c r="I15" s="1177"/>
      <c r="J15" s="1176"/>
      <c r="K15" s="1189"/>
      <c r="L15" s="1178">
        <v>5</v>
      </c>
      <c r="M15" s="1176">
        <v>5</v>
      </c>
      <c r="N15" s="1176">
        <v>5</v>
      </c>
      <c r="O15" s="1176">
        <v>5</v>
      </c>
      <c r="P15" s="1176"/>
      <c r="Q15" s="1176"/>
      <c r="R15" s="1176"/>
      <c r="S15" s="1176"/>
      <c r="T15" s="1176"/>
      <c r="U15" s="1176"/>
      <c r="V15" s="1176"/>
      <c r="W15" s="1176"/>
      <c r="X15" s="1176"/>
      <c r="Y15" s="1175"/>
      <c r="Z15" s="1180"/>
      <c r="AA15" s="775">
        <f t="shared" si="3"/>
        <v>4.4000000000000004</v>
      </c>
      <c r="AB15" s="766">
        <f t="shared" si="4"/>
        <v>0</v>
      </c>
      <c r="AC15" s="766">
        <f t="shared" si="5"/>
        <v>0</v>
      </c>
    </row>
    <row r="16" spans="1:29" ht="15" customHeight="1">
      <c r="A16" s="144" t="s">
        <v>69</v>
      </c>
      <c r="B16" s="137" t="s">
        <v>70</v>
      </c>
      <c r="C16" s="61"/>
      <c r="D16" s="70"/>
      <c r="E16" s="1181"/>
      <c r="F16" s="1091"/>
      <c r="G16" s="1105"/>
      <c r="H16" s="1181"/>
      <c r="I16" s="194"/>
      <c r="J16" s="1105">
        <v>5</v>
      </c>
      <c r="K16" s="1181"/>
      <c r="L16" s="1182">
        <v>3</v>
      </c>
      <c r="M16" s="1105">
        <v>5</v>
      </c>
      <c r="N16" s="1105">
        <v>5</v>
      </c>
      <c r="O16" s="1105">
        <v>4</v>
      </c>
      <c r="P16" s="1105"/>
      <c r="Q16" s="1105"/>
      <c r="R16" s="1105"/>
      <c r="S16" s="1105"/>
      <c r="T16" s="1105"/>
      <c r="U16" s="1105"/>
      <c r="V16" s="1105"/>
      <c r="W16" s="1105"/>
      <c r="X16" s="1105"/>
      <c r="Y16" s="1181"/>
      <c r="Z16" s="1183"/>
      <c r="AA16" s="775">
        <f t="shared" si="3"/>
        <v>4.4000000000000004</v>
      </c>
      <c r="AB16" s="766">
        <f t="shared" si="4"/>
        <v>0</v>
      </c>
      <c r="AC16" s="766">
        <f t="shared" si="5"/>
        <v>0</v>
      </c>
    </row>
    <row r="17" spans="1:29" ht="15" customHeight="1">
      <c r="A17" s="144" t="s">
        <v>71</v>
      </c>
      <c r="B17" s="137" t="s">
        <v>72</v>
      </c>
      <c r="C17" s="61"/>
      <c r="D17" s="70"/>
      <c r="E17" s="1181">
        <v>4</v>
      </c>
      <c r="F17" s="1091"/>
      <c r="G17" s="1105"/>
      <c r="H17" s="1181" t="s">
        <v>46</v>
      </c>
      <c r="I17" s="1091"/>
      <c r="J17" s="1105" t="s">
        <v>46</v>
      </c>
      <c r="K17" s="1181"/>
      <c r="L17" s="1182">
        <v>4</v>
      </c>
      <c r="M17" s="1105">
        <v>5</v>
      </c>
      <c r="N17" s="1105" t="s">
        <v>46</v>
      </c>
      <c r="O17" s="1105">
        <v>3</v>
      </c>
      <c r="P17" s="1105"/>
      <c r="Q17" s="1105"/>
      <c r="R17" s="1105"/>
      <c r="S17" s="1105"/>
      <c r="T17" s="1105"/>
      <c r="U17" s="1105"/>
      <c r="V17" s="1105"/>
      <c r="W17" s="1105"/>
      <c r="X17" s="1105"/>
      <c r="Y17" s="1181"/>
      <c r="Z17" s="1183"/>
      <c r="AA17" s="775">
        <f t="shared" si="3"/>
        <v>4</v>
      </c>
      <c r="AB17" s="766">
        <f t="shared" si="4"/>
        <v>0</v>
      </c>
      <c r="AC17" s="766">
        <f t="shared" si="5"/>
        <v>3</v>
      </c>
    </row>
    <row r="18" spans="1:29" ht="15" customHeight="1">
      <c r="A18" s="144" t="s">
        <v>73</v>
      </c>
      <c r="B18" s="137" t="s">
        <v>74</v>
      </c>
      <c r="C18" s="61"/>
      <c r="D18" s="70"/>
      <c r="E18" s="1181">
        <v>4</v>
      </c>
      <c r="F18" s="1091"/>
      <c r="G18" s="1105"/>
      <c r="H18" s="1181"/>
      <c r="I18" s="194"/>
      <c r="J18" s="1105">
        <v>5</v>
      </c>
      <c r="K18" s="1181"/>
      <c r="L18" s="1182">
        <v>4</v>
      </c>
      <c r="M18" s="1105">
        <v>5</v>
      </c>
      <c r="N18" s="1105"/>
      <c r="O18" s="1105">
        <v>4</v>
      </c>
      <c r="P18" s="1105"/>
      <c r="Q18" s="1105"/>
      <c r="R18" s="1105"/>
      <c r="S18" s="1105"/>
      <c r="T18" s="1105"/>
      <c r="U18" s="1105"/>
      <c r="V18" s="1105"/>
      <c r="W18" s="1105"/>
      <c r="X18" s="1105"/>
      <c r="Y18" s="1181"/>
      <c r="Z18" s="1183"/>
      <c r="AA18" s="775">
        <f t="shared" si="3"/>
        <v>4.4000000000000004</v>
      </c>
      <c r="AB18" s="766">
        <f t="shared" si="4"/>
        <v>0</v>
      </c>
      <c r="AC18" s="766">
        <f t="shared" si="5"/>
        <v>0</v>
      </c>
    </row>
    <row r="19" spans="1:29" ht="15" customHeight="1">
      <c r="A19" s="146" t="s">
        <v>75</v>
      </c>
      <c r="B19" s="151" t="s">
        <v>76</v>
      </c>
      <c r="C19" s="716"/>
      <c r="D19" s="103"/>
      <c r="E19" s="1184">
        <v>5</v>
      </c>
      <c r="F19" s="1097"/>
      <c r="G19" s="1185"/>
      <c r="H19" s="1184"/>
      <c r="I19" s="1186"/>
      <c r="J19" s="1185">
        <v>5</v>
      </c>
      <c r="K19" s="1184"/>
      <c r="L19" s="1186">
        <v>5</v>
      </c>
      <c r="M19" s="1185">
        <v>5</v>
      </c>
      <c r="N19" s="1185">
        <v>5</v>
      </c>
      <c r="O19" s="1185">
        <v>5</v>
      </c>
      <c r="P19" s="1185"/>
      <c r="Q19" s="1185"/>
      <c r="R19" s="1185"/>
      <c r="S19" s="1185"/>
      <c r="T19" s="1185"/>
      <c r="U19" s="1185"/>
      <c r="V19" s="1185"/>
      <c r="W19" s="1185"/>
      <c r="X19" s="1185"/>
      <c r="Y19" s="1184"/>
      <c r="Z19" s="1188"/>
      <c r="AA19" s="775">
        <f t="shared" si="3"/>
        <v>5</v>
      </c>
      <c r="AB19" s="766">
        <f t="shared" si="4"/>
        <v>0</v>
      </c>
      <c r="AC19" s="766">
        <f t="shared" si="5"/>
        <v>0</v>
      </c>
    </row>
    <row r="20" spans="1:29" ht="15" customHeight="1">
      <c r="A20" s="149" t="s">
        <v>77</v>
      </c>
      <c r="B20" s="970" t="s">
        <v>78</v>
      </c>
      <c r="C20" s="78"/>
      <c r="D20" s="82"/>
      <c r="E20" s="1175">
        <v>5</v>
      </c>
      <c r="F20" s="1089"/>
      <c r="G20" s="1176"/>
      <c r="H20" s="1175" t="s">
        <v>46</v>
      </c>
      <c r="I20" s="1089"/>
      <c r="J20" s="1176" t="s">
        <v>46</v>
      </c>
      <c r="K20" s="1175"/>
      <c r="L20" s="1178">
        <v>4</v>
      </c>
      <c r="M20" s="1176">
        <v>5</v>
      </c>
      <c r="N20" s="1176">
        <v>5</v>
      </c>
      <c r="O20" s="1176">
        <v>5</v>
      </c>
      <c r="P20" s="1176"/>
      <c r="Q20" s="1176"/>
      <c r="R20" s="1176"/>
      <c r="S20" s="1176"/>
      <c r="T20" s="1176"/>
      <c r="U20" s="1176"/>
      <c r="V20" s="1176"/>
      <c r="W20" s="1176"/>
      <c r="X20" s="1176"/>
      <c r="Y20" s="1175"/>
      <c r="Z20" s="1180"/>
      <c r="AA20" s="775">
        <f t="shared" si="3"/>
        <v>4.8</v>
      </c>
      <c r="AB20" s="766">
        <f t="shared" si="4"/>
        <v>0</v>
      </c>
      <c r="AC20" s="766">
        <f t="shared" si="5"/>
        <v>2</v>
      </c>
    </row>
    <row r="21" spans="1:29" ht="15" customHeight="1">
      <c r="A21" s="144" t="s">
        <v>79</v>
      </c>
      <c r="B21" s="137" t="s">
        <v>80</v>
      </c>
      <c r="C21" s="61"/>
      <c r="D21" s="70"/>
      <c r="E21" s="1181">
        <v>4</v>
      </c>
      <c r="F21" s="1091"/>
      <c r="G21" s="1105"/>
      <c r="H21" s="1181"/>
      <c r="I21" s="194"/>
      <c r="J21" s="1105">
        <v>5</v>
      </c>
      <c r="K21" s="1181"/>
      <c r="L21" s="1182">
        <v>3</v>
      </c>
      <c r="M21" s="1105">
        <v>5</v>
      </c>
      <c r="N21" s="1105" t="s">
        <v>46</v>
      </c>
      <c r="O21" s="1105">
        <v>3</v>
      </c>
      <c r="P21" s="1105"/>
      <c r="Q21" s="1105"/>
      <c r="R21" s="1105"/>
      <c r="S21" s="1105"/>
      <c r="T21" s="1105"/>
      <c r="U21" s="1105"/>
      <c r="V21" s="1105"/>
      <c r="W21" s="1105"/>
      <c r="X21" s="1105"/>
      <c r="Y21" s="1181"/>
      <c r="Z21" s="1183"/>
      <c r="AA21" s="775">
        <f t="shared" si="3"/>
        <v>4</v>
      </c>
      <c r="AB21" s="766">
        <f t="shared" si="4"/>
        <v>0</v>
      </c>
      <c r="AC21" s="766">
        <f t="shared" si="5"/>
        <v>1</v>
      </c>
    </row>
    <row r="22" spans="1:29" ht="15" customHeight="1">
      <c r="A22" s="144" t="s">
        <v>81</v>
      </c>
      <c r="B22" s="137" t="s">
        <v>82</v>
      </c>
      <c r="C22" s="61"/>
      <c r="D22" s="70"/>
      <c r="E22" s="1181">
        <v>5</v>
      </c>
      <c r="F22" s="1091"/>
      <c r="G22" s="1105"/>
      <c r="H22" s="1181"/>
      <c r="I22" s="1091"/>
      <c r="J22" s="1105" t="s">
        <v>46</v>
      </c>
      <c r="K22" s="62" t="s">
        <v>48</v>
      </c>
      <c r="L22" s="1190">
        <v>4</v>
      </c>
      <c r="M22" s="70" t="s">
        <v>48</v>
      </c>
      <c r="N22" s="1105">
        <v>5</v>
      </c>
      <c r="O22" s="1105">
        <v>5</v>
      </c>
      <c r="P22" s="1105"/>
      <c r="Q22" s="1105"/>
      <c r="R22" s="1105"/>
      <c r="S22" s="1105"/>
      <c r="T22" s="1105"/>
      <c r="U22" s="1105"/>
      <c r="V22" s="1105"/>
      <c r="W22" s="1105"/>
      <c r="X22" s="1105"/>
      <c r="Y22" s="1181"/>
      <c r="Z22" s="1183"/>
      <c r="AA22" s="775">
        <f t="shared" si="3"/>
        <v>4.75</v>
      </c>
      <c r="AB22" s="766">
        <f t="shared" si="4"/>
        <v>2</v>
      </c>
      <c r="AC22" s="766">
        <f t="shared" si="5"/>
        <v>1</v>
      </c>
    </row>
    <row r="23" spans="1:29" ht="15" customHeight="1">
      <c r="A23" s="144" t="s">
        <v>83</v>
      </c>
      <c r="B23" s="343" t="s">
        <v>84</v>
      </c>
      <c r="C23" s="61"/>
      <c r="D23" s="70"/>
      <c r="E23" s="1181"/>
      <c r="F23" s="1091"/>
      <c r="G23" s="1105"/>
      <c r="H23" s="1181" t="s">
        <v>46</v>
      </c>
      <c r="I23" s="1091" t="s">
        <v>46</v>
      </c>
      <c r="J23" s="1105" t="s">
        <v>46</v>
      </c>
      <c r="K23" s="1181"/>
      <c r="L23" s="1182">
        <v>5</v>
      </c>
      <c r="M23" s="1105">
        <v>5</v>
      </c>
      <c r="N23" s="188"/>
      <c r="O23" s="1105" t="s">
        <v>46</v>
      </c>
      <c r="P23" s="1105" t="s">
        <v>46</v>
      </c>
      <c r="Q23" s="1105"/>
      <c r="R23" s="1105"/>
      <c r="S23" s="1105"/>
      <c r="T23" s="1105"/>
      <c r="U23" s="1105"/>
      <c r="V23" s="1105"/>
      <c r="W23" s="1105"/>
      <c r="X23" s="1105"/>
      <c r="Y23" s="1181"/>
      <c r="Z23" s="1183"/>
      <c r="AA23" s="775">
        <f t="shared" si="3"/>
        <v>5</v>
      </c>
      <c r="AB23" s="766">
        <f t="shared" si="4"/>
        <v>0</v>
      </c>
      <c r="AC23" s="766">
        <f t="shared" si="5"/>
        <v>5</v>
      </c>
    </row>
    <row r="24" spans="1:29" ht="15" customHeight="1">
      <c r="A24" s="154" t="s">
        <v>27</v>
      </c>
      <c r="B24" s="151" t="s">
        <v>85</v>
      </c>
      <c r="C24" s="716"/>
      <c r="D24" s="103"/>
      <c r="E24" s="1184">
        <v>5</v>
      </c>
      <c r="F24" s="1097"/>
      <c r="G24" s="1185"/>
      <c r="H24" s="1184"/>
      <c r="I24" s="1186"/>
      <c r="J24" s="1185">
        <v>5</v>
      </c>
      <c r="K24" s="1184"/>
      <c r="L24" s="1186">
        <v>5</v>
      </c>
      <c r="M24" s="1185">
        <v>5</v>
      </c>
      <c r="N24" s="1185">
        <v>5</v>
      </c>
      <c r="O24" s="253"/>
      <c r="P24" s="1185"/>
      <c r="Q24" s="1185"/>
      <c r="R24" s="1185"/>
      <c r="S24" s="1185"/>
      <c r="T24" s="1185"/>
      <c r="U24" s="1185"/>
      <c r="V24" s="1185"/>
      <c r="W24" s="1185"/>
      <c r="X24" s="1185"/>
      <c r="Y24" s="1184"/>
      <c r="Z24" s="1188"/>
      <c r="AA24" s="775">
        <f t="shared" si="3"/>
        <v>5</v>
      </c>
      <c r="AB24" s="766">
        <f t="shared" si="4"/>
        <v>0</v>
      </c>
      <c r="AC24" s="766">
        <f t="shared" si="5"/>
        <v>0</v>
      </c>
    </row>
    <row r="25" spans="1:29" ht="15" customHeight="1">
      <c r="A25" s="156" t="s">
        <v>86</v>
      </c>
      <c r="B25" s="343" t="s">
        <v>87</v>
      </c>
      <c r="C25" s="532"/>
      <c r="D25" s="96"/>
      <c r="E25" s="1189"/>
      <c r="F25" s="1095"/>
      <c r="G25" s="1067"/>
      <c r="H25" s="1189" t="s">
        <v>46</v>
      </c>
      <c r="I25" s="1095">
        <v>2</v>
      </c>
      <c r="J25" s="1067"/>
      <c r="K25" s="1189" t="s">
        <v>46</v>
      </c>
      <c r="L25" s="1191">
        <v>4</v>
      </c>
      <c r="M25" s="1067">
        <v>5</v>
      </c>
      <c r="N25" s="1067" t="s">
        <v>46</v>
      </c>
      <c r="O25" s="1067" t="s">
        <v>46</v>
      </c>
      <c r="P25" s="1067" t="s">
        <v>46</v>
      </c>
      <c r="Q25" s="1067"/>
      <c r="R25" s="1067"/>
      <c r="S25" s="1067"/>
      <c r="T25" s="1067"/>
      <c r="U25" s="1067"/>
      <c r="V25" s="1067"/>
      <c r="W25" s="1067"/>
      <c r="X25" s="1067"/>
      <c r="Y25" s="1189"/>
      <c r="Z25" s="1192"/>
      <c r="AA25" s="775">
        <f t="shared" si="3"/>
        <v>3.6666666666666665</v>
      </c>
      <c r="AB25" s="766">
        <f t="shared" si="4"/>
        <v>0</v>
      </c>
      <c r="AC25" s="766">
        <f t="shared" si="5"/>
        <v>5</v>
      </c>
    </row>
    <row r="26" spans="1:29" ht="15" hidden="1" customHeight="1">
      <c r="A26" s="139" t="s">
        <v>86</v>
      </c>
      <c r="B26" s="137" t="s">
        <v>88</v>
      </c>
      <c r="C26" s="61"/>
      <c r="D26" s="70"/>
      <c r="E26" s="1181"/>
      <c r="F26" s="1091"/>
      <c r="G26" s="1105"/>
      <c r="H26" s="1181"/>
      <c r="I26" s="1091"/>
      <c r="J26" s="1105"/>
      <c r="K26" s="1181"/>
      <c r="L26" s="1182"/>
      <c r="M26" s="1105"/>
      <c r="N26" s="1105"/>
      <c r="O26" s="1105"/>
      <c r="P26" s="1105"/>
      <c r="Q26" s="1105"/>
      <c r="R26" s="1105"/>
      <c r="S26" s="1105"/>
      <c r="T26" s="1105"/>
      <c r="U26" s="1105"/>
      <c r="V26" s="1105"/>
      <c r="W26" s="1105"/>
      <c r="X26" s="1105"/>
      <c r="Y26" s="1181"/>
      <c r="Z26" s="1183"/>
      <c r="AA26" s="775" t="str">
        <f t="shared" si="3"/>
        <v>Нет оценок</v>
      </c>
      <c r="AB26" s="766">
        <f t="shared" si="4"/>
        <v>0</v>
      </c>
      <c r="AC26" s="766">
        <f t="shared" si="5"/>
        <v>0</v>
      </c>
    </row>
    <row r="27" spans="1:29" ht="15" customHeight="1">
      <c r="A27" s="139" t="s">
        <v>89</v>
      </c>
      <c r="B27" s="137" t="s">
        <v>90</v>
      </c>
      <c r="C27" s="61"/>
      <c r="D27" s="70"/>
      <c r="E27" s="1181"/>
      <c r="F27" s="1091"/>
      <c r="G27" s="1105"/>
      <c r="H27" s="1181"/>
      <c r="I27" s="194"/>
      <c r="J27" s="1105"/>
      <c r="K27" s="1181"/>
      <c r="L27" s="1182" t="s">
        <v>635</v>
      </c>
      <c r="M27" s="1105">
        <v>5</v>
      </c>
      <c r="N27" s="1105" t="s">
        <v>46</v>
      </c>
      <c r="O27" s="1105" t="s">
        <v>46</v>
      </c>
      <c r="P27" s="1105"/>
      <c r="Q27" s="1105"/>
      <c r="R27" s="1105"/>
      <c r="S27" s="1105"/>
      <c r="T27" s="1105"/>
      <c r="U27" s="1105"/>
      <c r="V27" s="1105"/>
      <c r="W27" s="1105"/>
      <c r="X27" s="1105"/>
      <c r="Y27" s="1181"/>
      <c r="Z27" s="1183"/>
      <c r="AA27" s="775">
        <f t="shared" si="3"/>
        <v>5</v>
      </c>
      <c r="AB27" s="766">
        <f t="shared" si="4"/>
        <v>0</v>
      </c>
      <c r="AC27" s="766">
        <f t="shared" si="5"/>
        <v>2</v>
      </c>
    </row>
    <row r="28" spans="1:29" ht="15" customHeight="1">
      <c r="A28" s="275" t="s">
        <v>91</v>
      </c>
      <c r="B28" s="151" t="s">
        <v>92</v>
      </c>
      <c r="C28" s="716"/>
      <c r="D28" s="103"/>
      <c r="E28" s="1184">
        <v>5</v>
      </c>
      <c r="F28" s="1097"/>
      <c r="G28" s="1185"/>
      <c r="H28" s="1184"/>
      <c r="I28" s="1186"/>
      <c r="J28" s="1185"/>
      <c r="K28" s="1184"/>
      <c r="L28" s="1187">
        <v>5</v>
      </c>
      <c r="M28" s="1185">
        <v>5</v>
      </c>
      <c r="N28" s="1185">
        <v>5</v>
      </c>
      <c r="O28" s="253"/>
      <c r="P28" s="1185"/>
      <c r="Q28" s="1185"/>
      <c r="R28" s="1185"/>
      <c r="S28" s="1185"/>
      <c r="T28" s="1185"/>
      <c r="U28" s="1185"/>
      <c r="V28" s="1185"/>
      <c r="W28" s="1185"/>
      <c r="X28" s="1185"/>
      <c r="Y28" s="1184"/>
      <c r="Z28" s="1188"/>
      <c r="AA28" s="775">
        <f t="shared" si="3"/>
        <v>5</v>
      </c>
      <c r="AB28" s="766">
        <f t="shared" si="4"/>
        <v>0</v>
      </c>
      <c r="AC28" s="766">
        <f t="shared" si="5"/>
        <v>0</v>
      </c>
    </row>
    <row r="29" spans="1:29" ht="15" customHeight="1">
      <c r="A29" s="1193" t="s">
        <v>93</v>
      </c>
      <c r="B29" s="1194" t="s">
        <v>94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107">
        <f>IFERROR(AVERAGE(AA5:AA28),"")</f>
        <v>4.5365424430641816</v>
      </c>
      <c r="AB29" s="766">
        <f>SUM(AB5:AB28)</f>
        <v>3</v>
      </c>
      <c r="AC29" s="766">
        <f>SUM(AC5:AC28)</f>
        <v>36</v>
      </c>
    </row>
    <row r="30" spans="1:29" ht="15.75">
      <c r="A30" s="1195">
        <v>46037</v>
      </c>
      <c r="B30" s="1196" t="s">
        <v>637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>
      <c r="A31" s="1197">
        <v>46046</v>
      </c>
      <c r="B31" s="1198" t="s">
        <v>637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31.5">
      <c r="A32" s="1199">
        <v>46051</v>
      </c>
      <c r="B32" s="1200" t="s">
        <v>638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31.5">
      <c r="A33" s="1195">
        <v>46070</v>
      </c>
      <c r="B33" s="1196" t="s">
        <v>639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31.5">
      <c r="A34" s="1197">
        <v>46070</v>
      </c>
      <c r="B34" s="1198" t="s">
        <v>639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31.5">
      <c r="A35" s="1199">
        <v>46073</v>
      </c>
      <c r="B35" s="1201" t="s">
        <v>640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>
      <c r="A36" s="1195">
        <v>46091</v>
      </c>
      <c r="B36" s="1196" t="s">
        <v>641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31.5">
      <c r="A37" s="1199">
        <v>46094</v>
      </c>
      <c r="B37" s="1200" t="s">
        <v>642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>
      <c r="A38" s="1195">
        <v>46113</v>
      </c>
      <c r="B38" s="1202" t="s">
        <v>341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31.5">
      <c r="A39" s="1197">
        <v>46113</v>
      </c>
      <c r="B39" s="1198" t="s">
        <v>643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>
      <c r="A40" s="1197">
        <v>46118</v>
      </c>
      <c r="B40" s="1198" t="s">
        <v>644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>
      <c r="A41" s="1197">
        <v>46119</v>
      </c>
      <c r="B41" s="1198" t="s">
        <v>645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>
      <c r="A42" s="1197"/>
      <c r="B42" s="119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>
      <c r="A43" s="1197"/>
      <c r="B43" s="119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>
      <c r="A44" s="1197"/>
      <c r="B44" s="119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>
      <c r="A45" s="1197"/>
      <c r="B45" s="119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>
      <c r="A46" s="1197"/>
      <c r="B46" s="119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>
      <c r="A47" s="1197"/>
      <c r="B47" s="119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>
      <c r="A48" s="1197"/>
      <c r="B48" s="119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>
      <c r="A49" s="1197"/>
      <c r="B49" s="119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>
      <c r="A50" s="1197"/>
      <c r="B50" s="119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>
      <c r="A51" s="1197"/>
      <c r="B51" s="119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>
      <c r="A52" s="1197"/>
      <c r="B52" s="119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>
      <c r="A53" s="1197"/>
      <c r="B53" s="119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>
      <c r="A54" s="1197"/>
      <c r="B54" s="119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>
      <c r="A55" s="1197"/>
      <c r="B55" s="119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>
      <c r="A56" s="1197"/>
      <c r="B56" s="119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>
      <c r="A57" s="1197"/>
      <c r="B57" s="119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>
      <c r="A58" s="1197"/>
      <c r="B58" s="119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>
      <c r="A59" s="1197"/>
      <c r="B59" s="119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>
      <c r="A60" s="1197"/>
      <c r="B60" s="119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>
      <c r="A61" s="1197"/>
      <c r="B61" s="119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>
      <c r="A62" s="1197"/>
      <c r="B62" s="119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>
      <c r="A63" s="1197"/>
      <c r="B63" s="119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>
      <c r="A64" s="1197"/>
      <c r="B64" s="119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>
      <c r="A65" s="1197"/>
      <c r="B65" s="119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>
      <c r="A66" s="1203"/>
      <c r="B66" s="1204"/>
      <c r="C66" s="448"/>
    </row>
    <row r="67" spans="1:29">
      <c r="A67" s="1203"/>
      <c r="B67" s="1204"/>
      <c r="C67" s="448"/>
    </row>
    <row r="68" spans="1:29">
      <c r="A68" s="1203"/>
      <c r="B68" s="1204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8"/>
      <c r="Q68" s="448"/>
      <c r="R68" s="448"/>
      <c r="S68" s="448"/>
      <c r="T68" s="448"/>
      <c r="U68" s="448"/>
      <c r="V68" s="448"/>
      <c r="W68" s="448"/>
      <c r="X68" s="448"/>
      <c r="Y68" s="448"/>
      <c r="Z68" s="448"/>
      <c r="AA68" s="448"/>
      <c r="AB68" s="448"/>
      <c r="AC68" s="448"/>
    </row>
    <row r="69" spans="1:29">
      <c r="A69" s="1203"/>
      <c r="B69" s="1204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8"/>
      <c r="Q69" s="448"/>
      <c r="R69" s="448"/>
      <c r="S69" s="448"/>
      <c r="T69" s="448"/>
      <c r="U69" s="448"/>
      <c r="V69" s="448"/>
      <c r="W69" s="448"/>
      <c r="X69" s="448"/>
      <c r="Y69" s="448"/>
      <c r="Z69" s="448"/>
      <c r="AA69" s="448"/>
      <c r="AB69" s="448"/>
      <c r="AC69" s="448"/>
    </row>
    <row r="70" spans="1:29">
      <c r="A70" s="1203"/>
      <c r="B70" s="1204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8"/>
      <c r="Q70" s="448"/>
      <c r="R70" s="448"/>
      <c r="S70" s="448"/>
      <c r="T70" s="448"/>
      <c r="U70" s="448"/>
      <c r="V70" s="448"/>
      <c r="W70" s="448"/>
      <c r="X70" s="448"/>
      <c r="Y70" s="448"/>
      <c r="Z70" s="448"/>
      <c r="AA70" s="448"/>
      <c r="AB70" s="448"/>
      <c r="AC70" s="448"/>
    </row>
    <row r="71" spans="1:29">
      <c r="A71" s="1203"/>
      <c r="B71" s="1204"/>
      <c r="C71" s="448"/>
      <c r="D71" s="448"/>
      <c r="E71" s="448"/>
      <c r="F71" s="448"/>
      <c r="G71" s="448"/>
      <c r="H71" s="448"/>
      <c r="I71" s="448"/>
      <c r="J71" s="448"/>
      <c r="K71" s="448"/>
      <c r="L71" s="448"/>
      <c r="M71" s="448"/>
      <c r="N71" s="448"/>
      <c r="O71" s="448"/>
      <c r="P71" s="448"/>
      <c r="Q71" s="448"/>
      <c r="R71" s="448"/>
      <c r="S71" s="448"/>
      <c r="T71" s="448"/>
      <c r="U71" s="448"/>
      <c r="V71" s="448"/>
      <c r="W71" s="448"/>
      <c r="X71" s="448"/>
      <c r="Y71" s="448"/>
      <c r="Z71" s="448"/>
      <c r="AA71" s="448"/>
      <c r="AB71" s="448"/>
      <c r="AC71" s="448"/>
    </row>
    <row r="72" spans="1:29">
      <c r="A72" s="1203"/>
      <c r="B72" s="1204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8"/>
      <c r="Q72" s="448"/>
      <c r="R72" s="448"/>
      <c r="S72" s="448"/>
      <c r="T72" s="448"/>
      <c r="U72" s="448"/>
      <c r="V72" s="448"/>
      <c r="W72" s="448"/>
      <c r="X72" s="448"/>
      <c r="Y72" s="448"/>
      <c r="Z72" s="448"/>
      <c r="AA72" s="448"/>
      <c r="AB72" s="448"/>
      <c r="AC72" s="448"/>
    </row>
    <row r="73" spans="1:29">
      <c r="A73" s="1203"/>
      <c r="B73" s="1204"/>
      <c r="C73" s="448"/>
      <c r="D73" s="448"/>
      <c r="E73" s="448"/>
      <c r="F73" s="448"/>
      <c r="G73" s="448"/>
      <c r="H73" s="448"/>
      <c r="I73" s="448"/>
      <c r="J73" s="448"/>
      <c r="K73" s="448"/>
      <c r="L73" s="448"/>
      <c r="M73" s="448"/>
      <c r="N73" s="448"/>
      <c r="O73" s="448"/>
      <c r="P73" s="448"/>
      <c r="Q73" s="448"/>
      <c r="R73" s="448"/>
      <c r="S73" s="448"/>
      <c r="T73" s="448"/>
      <c r="U73" s="448"/>
      <c r="V73" s="448"/>
      <c r="W73" s="448"/>
      <c r="X73" s="448"/>
      <c r="Y73" s="448"/>
      <c r="Z73" s="448"/>
      <c r="AA73" s="448"/>
      <c r="AB73" s="448"/>
      <c r="AC73" s="448"/>
    </row>
    <row r="74" spans="1:29">
      <c r="A74" s="1203"/>
      <c r="B74" s="1204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8"/>
      <c r="Q74" s="448"/>
      <c r="R74" s="448"/>
      <c r="S74" s="448"/>
      <c r="T74" s="448"/>
      <c r="U74" s="448"/>
      <c r="V74" s="448"/>
      <c r="W74" s="448"/>
      <c r="X74" s="448"/>
      <c r="Y74" s="448"/>
      <c r="Z74" s="448"/>
      <c r="AA74" s="448"/>
      <c r="AB74" s="448"/>
      <c r="AC74" s="448"/>
    </row>
    <row r="75" spans="1:29">
      <c r="A75" s="1203"/>
      <c r="B75" s="1204"/>
      <c r="C75" s="448"/>
      <c r="D75" s="448"/>
      <c r="E75" s="448"/>
      <c r="F75" s="448"/>
      <c r="G75" s="448"/>
      <c r="H75" s="448"/>
      <c r="I75" s="448"/>
      <c r="J75" s="448"/>
      <c r="K75" s="448"/>
      <c r="L75" s="448"/>
      <c r="M75" s="448"/>
      <c r="N75" s="448"/>
      <c r="O75" s="448"/>
      <c r="P75" s="448"/>
      <c r="Q75" s="448"/>
      <c r="R75" s="448"/>
      <c r="S75" s="448"/>
      <c r="T75" s="448"/>
      <c r="U75" s="448"/>
      <c r="V75" s="448"/>
      <c r="W75" s="448"/>
      <c r="X75" s="448"/>
      <c r="Y75" s="448"/>
      <c r="Z75" s="448"/>
      <c r="AA75" s="448"/>
      <c r="AB75" s="448"/>
      <c r="AC75" s="448"/>
    </row>
    <row r="76" spans="1:29">
      <c r="A76" s="1203"/>
      <c r="B76" s="1204"/>
      <c r="C76" s="448"/>
      <c r="D76" s="448"/>
      <c r="E76" s="448"/>
      <c r="F76" s="448"/>
      <c r="G76" s="448"/>
      <c r="H76" s="448"/>
      <c r="I76" s="448"/>
      <c r="J76" s="448"/>
      <c r="K76" s="448"/>
      <c r="L76" s="448"/>
      <c r="M76" s="448"/>
      <c r="N76" s="448"/>
      <c r="O76" s="448"/>
      <c r="P76" s="448"/>
      <c r="Q76" s="448"/>
      <c r="R76" s="448"/>
      <c r="S76" s="448"/>
      <c r="T76" s="448"/>
      <c r="U76" s="448"/>
      <c r="V76" s="448"/>
      <c r="W76" s="448"/>
      <c r="X76" s="448"/>
      <c r="Y76" s="448"/>
      <c r="Z76" s="448"/>
      <c r="AA76" s="448"/>
      <c r="AB76" s="448"/>
      <c r="AC76" s="448"/>
    </row>
    <row r="77" spans="1:29">
      <c r="A77" s="1203"/>
      <c r="B77" s="1204"/>
      <c r="C77" s="448"/>
      <c r="D77" s="448"/>
      <c r="E77" s="448"/>
      <c r="F77" s="448"/>
      <c r="G77" s="448"/>
      <c r="H77" s="448"/>
      <c r="I77" s="448"/>
      <c r="J77" s="448"/>
      <c r="K77" s="448"/>
      <c r="L77" s="448"/>
      <c r="M77" s="448"/>
      <c r="N77" s="448"/>
      <c r="O77" s="448"/>
      <c r="P77" s="448"/>
      <c r="Q77" s="448"/>
      <c r="R77" s="448"/>
      <c r="S77" s="448"/>
      <c r="T77" s="448"/>
      <c r="U77" s="448"/>
      <c r="V77" s="448"/>
      <c r="W77" s="448"/>
      <c r="X77" s="448"/>
      <c r="Y77" s="448"/>
      <c r="Z77" s="448"/>
      <c r="AA77" s="448"/>
      <c r="AB77" s="448"/>
      <c r="AC77" s="448"/>
    </row>
    <row r="78" spans="1:29">
      <c r="A78" s="1203"/>
      <c r="B78" s="1204"/>
      <c r="C78" s="448"/>
      <c r="D78" s="448"/>
      <c r="E78" s="448"/>
      <c r="F78" s="448"/>
      <c r="G78" s="448"/>
      <c r="H78" s="448"/>
      <c r="I78" s="448"/>
      <c r="J78" s="448"/>
      <c r="K78" s="448"/>
      <c r="L78" s="448"/>
      <c r="M78" s="448"/>
      <c r="N78" s="448"/>
      <c r="O78" s="448"/>
      <c r="P78" s="448"/>
      <c r="Q78" s="448"/>
      <c r="R78" s="448"/>
      <c r="S78" s="448"/>
      <c r="T78" s="448"/>
      <c r="U78" s="448"/>
      <c r="V78" s="448"/>
      <c r="W78" s="448"/>
      <c r="X78" s="448"/>
      <c r="Y78" s="448"/>
      <c r="Z78" s="448"/>
      <c r="AA78" s="448"/>
      <c r="AB78" s="448"/>
      <c r="AC78" s="448"/>
    </row>
    <row r="79" spans="1:29">
      <c r="A79" s="1205"/>
      <c r="B79" s="1204"/>
      <c r="C79" s="448"/>
      <c r="D79" s="448"/>
      <c r="E79" s="448"/>
      <c r="F79" s="448"/>
      <c r="G79" s="448"/>
      <c r="H79" s="448"/>
      <c r="I79" s="448"/>
      <c r="J79" s="448"/>
      <c r="K79" s="448"/>
      <c r="L79" s="448"/>
      <c r="M79" s="448"/>
      <c r="N79" s="448"/>
      <c r="O79" s="448"/>
      <c r="P79" s="448"/>
      <c r="Q79" s="448"/>
      <c r="R79" s="448"/>
      <c r="S79" s="448"/>
      <c r="T79" s="448"/>
      <c r="U79" s="448"/>
      <c r="V79" s="448"/>
      <c r="W79" s="448"/>
      <c r="X79" s="448"/>
      <c r="Y79" s="448"/>
      <c r="Z79" s="448"/>
      <c r="AA79" s="448"/>
      <c r="AB79" s="448"/>
      <c r="AC79" s="448"/>
    </row>
  </sheetData>
  <mergeCells count="11">
    <mergeCell ref="AA3:AA4"/>
    <mergeCell ref="AB3:AC3"/>
    <mergeCell ref="A1:B1"/>
    <mergeCell ref="C1:Z1"/>
    <mergeCell ref="A2:B2"/>
    <mergeCell ref="C2:Z2"/>
    <mergeCell ref="A3:A4"/>
    <mergeCell ref="C3:E3"/>
    <mergeCell ref="F3:H3"/>
    <mergeCell ref="I3:K3"/>
    <mergeCell ref="L3:P3"/>
  </mergeCells>
  <conditionalFormatting sqref="AC5:AC28">
    <cfRule type="cellIs" dxfId="7" priority="4" operator="greaterThan">
      <formula>0</formula>
    </cfRule>
  </conditionalFormatting>
  <conditionalFormatting sqref="AA5:AA28 AA29">
    <cfRule type="cellIs" dxfId="6" priority="3" operator="lessThan">
      <formula>3</formula>
    </cfRule>
  </conditionalFormatting>
  <conditionalFormatting sqref="C5:Y28">
    <cfRule type="cellIs" dxfId="5" priority="2" operator="equal">
      <formula>"н"</formula>
    </cfRule>
  </conditionalFormatting>
  <conditionalFormatting sqref="C5:Y28">
    <cfRule type="cellIs" dxfId="4" priority="1" operator="equal">
      <formula>"н/у"</formula>
    </cfRule>
  </conditionalFormatting>
  <pageMargins left="0.70078740157480324" right="0.70078740157480324" top="0.75196850393700787" bottom="0.75196850393700787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0.79998168889431442"/>
  </sheetPr>
  <dimension ref="A1:AD69"/>
  <sheetViews>
    <sheetView workbookViewId="0"/>
  </sheetViews>
  <sheetFormatPr defaultRowHeight="15"/>
  <cols>
    <col min="1" max="1" width="7.77734375" style="1206" customWidth="1"/>
    <col min="2" max="2" width="34.5546875" style="1206" customWidth="1"/>
    <col min="3" max="26" width="2.77734375" style="1206" customWidth="1"/>
    <col min="27" max="27" width="11.21875" style="1206" customWidth="1"/>
    <col min="28" max="16384" width="8.88671875" style="1206"/>
  </cols>
  <sheetData>
    <row r="1" spans="1:30" ht="23.25">
      <c r="A1" s="1460" t="s">
        <v>38</v>
      </c>
      <c r="B1" s="1460"/>
      <c r="C1" s="1310" t="s">
        <v>646</v>
      </c>
      <c r="D1" s="1310"/>
      <c r="E1" s="1310"/>
      <c r="F1" s="1310"/>
      <c r="G1" s="1310"/>
      <c r="H1" s="1310"/>
      <c r="I1" s="1310"/>
      <c r="J1" s="1310"/>
      <c r="K1" s="1310"/>
      <c r="L1" s="1310"/>
      <c r="M1" s="1310"/>
      <c r="N1" s="1310"/>
      <c r="O1" s="1310"/>
      <c r="P1" s="1310"/>
      <c r="Q1" s="1310"/>
      <c r="R1" s="1310"/>
      <c r="S1" s="1310"/>
      <c r="T1" s="1310"/>
      <c r="U1" s="1310"/>
      <c r="V1" s="1310"/>
      <c r="W1" s="1310"/>
      <c r="X1" s="1310"/>
      <c r="Y1" s="1310"/>
      <c r="Z1" s="1310"/>
      <c r="AA1" s="1207"/>
      <c r="AB1" s="1207"/>
      <c r="AC1" s="1207"/>
      <c r="AD1" s="1207"/>
    </row>
    <row r="2" spans="1:30" ht="23.25">
      <c r="A2" s="1461" t="s">
        <v>39</v>
      </c>
      <c r="B2" s="1461"/>
      <c r="C2" s="1460" t="s">
        <v>145</v>
      </c>
      <c r="D2" s="1461"/>
      <c r="E2" s="1461"/>
      <c r="F2" s="1461"/>
      <c r="G2" s="1461"/>
      <c r="H2" s="1461"/>
      <c r="I2" s="1461"/>
      <c r="J2" s="1461"/>
      <c r="K2" s="1461"/>
      <c r="L2" s="1461"/>
      <c r="M2" s="1461"/>
      <c r="N2" s="1461"/>
      <c r="O2" s="1461"/>
      <c r="P2" s="1461"/>
      <c r="Q2" s="1461"/>
      <c r="R2" s="1461"/>
      <c r="S2" s="1461"/>
      <c r="T2" s="1461"/>
      <c r="U2" s="1461"/>
      <c r="V2" s="1461"/>
      <c r="W2" s="1461"/>
      <c r="X2" s="1461"/>
      <c r="Y2" s="1461"/>
      <c r="Z2" s="1461"/>
      <c r="AD2" s="1207"/>
    </row>
    <row r="3" spans="1:30" ht="15.75">
      <c r="A3" s="1281" t="s">
        <v>41</v>
      </c>
      <c r="B3" s="1208" t="s">
        <v>42</v>
      </c>
      <c r="C3" s="1462" t="s">
        <v>151</v>
      </c>
      <c r="D3" s="1462"/>
      <c r="E3" s="1462"/>
      <c r="F3" s="1463"/>
      <c r="G3" s="1209" t="s">
        <v>647</v>
      </c>
      <c r="H3" s="1464" t="s">
        <v>153</v>
      </c>
      <c r="I3" s="1464"/>
      <c r="J3" s="1464"/>
      <c r="K3" s="1465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210"/>
      <c r="AA3" s="1211"/>
      <c r="AB3" s="1466" t="s">
        <v>0</v>
      </c>
      <c r="AC3" s="1467"/>
      <c r="AD3" s="1207"/>
    </row>
    <row r="4" spans="1:30" ht="15.75">
      <c r="A4" s="1450"/>
      <c r="B4" s="683" t="s">
        <v>43</v>
      </c>
      <c r="C4" s="1212">
        <v>10</v>
      </c>
      <c r="D4" s="178">
        <v>12</v>
      </c>
      <c r="E4" s="178">
        <v>13</v>
      </c>
      <c r="F4" s="177">
        <v>19</v>
      </c>
      <c r="G4" s="1213">
        <v>30</v>
      </c>
      <c r="H4" s="176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7"/>
      <c r="AA4" s="1214" t="s">
        <v>33</v>
      </c>
      <c r="AB4" s="382" t="s">
        <v>5</v>
      </c>
      <c r="AC4" s="1215" t="s">
        <v>6</v>
      </c>
      <c r="AD4" s="1207"/>
    </row>
    <row r="5" spans="1:30" ht="15.75" customHeight="1">
      <c r="A5" s="969" t="s">
        <v>44</v>
      </c>
      <c r="B5" s="1216" t="s">
        <v>50</v>
      </c>
      <c r="C5" s="1217" t="s">
        <v>46</v>
      </c>
      <c r="D5" s="232">
        <v>5</v>
      </c>
      <c r="E5" s="232" t="s">
        <v>46</v>
      </c>
      <c r="F5" s="1218" t="s">
        <v>46</v>
      </c>
      <c r="G5" s="1219"/>
      <c r="H5" s="1217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1218"/>
      <c r="AA5" s="1220">
        <f t="shared" ref="AA5:AA9" si="0">IFERROR(AVERAGE(C5:Z5),"Нет оценок")</f>
        <v>5</v>
      </c>
      <c r="AB5" s="1221">
        <f t="shared" ref="AB5:AB9" si="1">COUNTIF(C5:Z5,"н/у")</f>
        <v>0</v>
      </c>
      <c r="AC5" s="1222">
        <f t="shared" ref="AC5:AC9" si="2">COUNTIF(C5:Z5,"н")</f>
        <v>3</v>
      </c>
      <c r="AD5" s="1207"/>
    </row>
    <row r="6" spans="1:30" ht="15.75" customHeight="1">
      <c r="A6" s="980" t="s">
        <v>49</v>
      </c>
      <c r="B6" s="1223" t="s">
        <v>45</v>
      </c>
      <c r="C6" s="187" t="s">
        <v>46</v>
      </c>
      <c r="D6" s="189">
        <v>5</v>
      </c>
      <c r="E6" s="189"/>
      <c r="F6" s="192"/>
      <c r="G6" s="1224"/>
      <c r="H6" s="187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92"/>
      <c r="AA6" s="1225">
        <f t="shared" si="0"/>
        <v>5</v>
      </c>
      <c r="AB6" s="1226">
        <f t="shared" si="1"/>
        <v>0</v>
      </c>
      <c r="AC6" s="1227">
        <f t="shared" si="2"/>
        <v>1</v>
      </c>
      <c r="AD6" s="1207"/>
    </row>
    <row r="7" spans="1:30" ht="15.75" customHeight="1">
      <c r="A7" s="1228" t="s">
        <v>51</v>
      </c>
      <c r="B7" s="1223" t="s">
        <v>52</v>
      </c>
      <c r="C7" s="187"/>
      <c r="D7" s="189">
        <v>5</v>
      </c>
      <c r="E7" s="189"/>
      <c r="F7" s="192">
        <v>5</v>
      </c>
      <c r="G7" s="1224"/>
      <c r="H7" s="187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92"/>
      <c r="AA7" s="1225">
        <f t="shared" si="0"/>
        <v>5</v>
      </c>
      <c r="AB7" s="1226">
        <f t="shared" si="1"/>
        <v>0</v>
      </c>
      <c r="AC7" s="1227">
        <f t="shared" si="2"/>
        <v>0</v>
      </c>
      <c r="AD7" s="1207"/>
    </row>
    <row r="8" spans="1:30" ht="15.75" customHeight="1">
      <c r="A8" s="1229" t="s">
        <v>53</v>
      </c>
      <c r="B8" s="1223" t="s">
        <v>54</v>
      </c>
      <c r="C8" s="187"/>
      <c r="D8" s="189">
        <v>5</v>
      </c>
      <c r="E8" s="189" t="s">
        <v>46</v>
      </c>
      <c r="F8" s="192">
        <v>4</v>
      </c>
      <c r="G8" s="1224"/>
      <c r="H8" s="187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92"/>
      <c r="AA8" s="1225">
        <f t="shared" si="0"/>
        <v>4.5</v>
      </c>
      <c r="AB8" s="1226">
        <f t="shared" si="1"/>
        <v>0</v>
      </c>
      <c r="AC8" s="1227">
        <f t="shared" si="2"/>
        <v>1</v>
      </c>
      <c r="AD8" s="1207"/>
    </row>
    <row r="9" spans="1:30" ht="15.75" customHeight="1">
      <c r="A9" s="1230" t="s">
        <v>55</v>
      </c>
      <c r="B9" s="1231" t="s">
        <v>56</v>
      </c>
      <c r="C9" s="239"/>
      <c r="D9" s="207"/>
      <c r="E9" s="207"/>
      <c r="F9" s="214">
        <v>4</v>
      </c>
      <c r="G9" s="1232"/>
      <c r="H9" s="206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14"/>
      <c r="AA9" s="1233">
        <f t="shared" si="0"/>
        <v>4</v>
      </c>
      <c r="AB9" s="1234">
        <f t="shared" si="1"/>
        <v>0</v>
      </c>
      <c r="AC9" s="1235">
        <f t="shared" si="2"/>
        <v>0</v>
      </c>
      <c r="AD9" s="1207"/>
    </row>
    <row r="10" spans="1:30" ht="15.75" customHeight="1">
      <c r="A10" s="1236" t="s">
        <v>57</v>
      </c>
      <c r="B10" s="1237" t="s">
        <v>58</v>
      </c>
      <c r="C10" s="1238"/>
      <c r="D10" s="232">
        <v>5</v>
      </c>
      <c r="E10" s="232"/>
      <c r="F10" s="1218">
        <v>5</v>
      </c>
      <c r="G10" s="1219"/>
      <c r="H10" s="1217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1218"/>
      <c r="AA10" s="1220">
        <f t="shared" ref="AA10:AA28" si="3">IFERROR(AVERAGE(C10:Z10),"Нет оценок")</f>
        <v>5</v>
      </c>
      <c r="AB10" s="1221">
        <f t="shared" ref="AB10:AB28" si="4">COUNTIF(C10:Z10,"н/у")</f>
        <v>0</v>
      </c>
      <c r="AC10" s="1222">
        <f t="shared" ref="AC10:AC28" si="5">COUNTIF(C10:Z10,"н")</f>
        <v>0</v>
      </c>
      <c r="AD10" s="1207"/>
    </row>
    <row r="11" spans="1:30" ht="15.75" customHeight="1">
      <c r="A11" s="1229" t="s">
        <v>59</v>
      </c>
      <c r="B11" s="1223" t="s">
        <v>60</v>
      </c>
      <c r="C11" s="1239"/>
      <c r="D11" s="189">
        <v>5</v>
      </c>
      <c r="E11" s="189"/>
      <c r="F11" s="192">
        <v>4</v>
      </c>
      <c r="G11" s="1224"/>
      <c r="H11" s="187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92"/>
      <c r="AA11" s="1225">
        <f t="shared" si="3"/>
        <v>4.5</v>
      </c>
      <c r="AB11" s="1226">
        <f t="shared" si="4"/>
        <v>0</v>
      </c>
      <c r="AC11" s="1227">
        <f t="shared" si="5"/>
        <v>0</v>
      </c>
      <c r="AD11" s="1207"/>
    </row>
    <row r="12" spans="1:30" ht="15.75" customHeight="1">
      <c r="A12" s="1229" t="s">
        <v>61</v>
      </c>
      <c r="B12" s="1223" t="s">
        <v>62</v>
      </c>
      <c r="C12" s="1239"/>
      <c r="D12" s="189">
        <v>5</v>
      </c>
      <c r="E12" s="189"/>
      <c r="F12" s="192" t="s">
        <v>46</v>
      </c>
      <c r="G12" s="1224"/>
      <c r="H12" s="187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92"/>
      <c r="AA12" s="1225">
        <f t="shared" si="3"/>
        <v>5</v>
      </c>
      <c r="AB12" s="1226">
        <f t="shared" si="4"/>
        <v>0</v>
      </c>
      <c r="AC12" s="1227">
        <f t="shared" si="5"/>
        <v>1</v>
      </c>
      <c r="AD12" s="1207"/>
    </row>
    <row r="13" spans="1:30" ht="15.75" customHeight="1">
      <c r="A13" s="1229" t="s">
        <v>63</v>
      </c>
      <c r="B13" s="1237" t="s">
        <v>64</v>
      </c>
      <c r="C13" s="1239"/>
      <c r="D13" s="200" t="s">
        <v>46</v>
      </c>
      <c r="E13" s="200"/>
      <c r="F13" s="225">
        <v>2</v>
      </c>
      <c r="G13" s="1240" t="s">
        <v>46</v>
      </c>
      <c r="H13" s="221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25"/>
      <c r="AA13" s="1225">
        <f t="shared" si="3"/>
        <v>2</v>
      </c>
      <c r="AB13" s="1226">
        <f t="shared" si="4"/>
        <v>0</v>
      </c>
      <c r="AC13" s="1227">
        <f t="shared" si="5"/>
        <v>2</v>
      </c>
      <c r="AD13" s="1207"/>
    </row>
    <row r="14" spans="1:30" ht="15.75" customHeight="1">
      <c r="A14" s="1230" t="s">
        <v>65</v>
      </c>
      <c r="B14" s="1241" t="s">
        <v>66</v>
      </c>
      <c r="C14" s="1242"/>
      <c r="D14" s="218">
        <v>5</v>
      </c>
      <c r="E14" s="218"/>
      <c r="F14" s="240">
        <v>4</v>
      </c>
      <c r="G14" s="1243" t="s">
        <v>48</v>
      </c>
      <c r="H14" s="239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42"/>
      <c r="AA14" s="1233">
        <f t="shared" si="3"/>
        <v>4.5</v>
      </c>
      <c r="AB14" s="1234">
        <f t="shared" si="4"/>
        <v>1</v>
      </c>
      <c r="AC14" s="1235">
        <f t="shared" si="5"/>
        <v>0</v>
      </c>
      <c r="AD14" s="1207"/>
    </row>
    <row r="15" spans="1:30" ht="15.75" customHeight="1">
      <c r="A15" s="1236" t="s">
        <v>67</v>
      </c>
      <c r="B15" s="1237" t="s">
        <v>68</v>
      </c>
      <c r="C15" s="1217"/>
      <c r="D15" s="200">
        <v>5</v>
      </c>
      <c r="E15" s="200"/>
      <c r="F15" s="225">
        <v>5</v>
      </c>
      <c r="G15" s="1240"/>
      <c r="H15" s="221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25"/>
      <c r="AA15" s="1220">
        <f t="shared" si="3"/>
        <v>5</v>
      </c>
      <c r="AB15" s="1221">
        <f t="shared" si="4"/>
        <v>0</v>
      </c>
      <c r="AC15" s="1222">
        <f t="shared" si="5"/>
        <v>0</v>
      </c>
      <c r="AD15" s="1207"/>
    </row>
    <row r="16" spans="1:30" ht="15.75" customHeight="1">
      <c r="A16" s="1229" t="s">
        <v>69</v>
      </c>
      <c r="B16" s="1223" t="s">
        <v>70</v>
      </c>
      <c r="C16" s="187"/>
      <c r="D16" s="189">
        <v>5</v>
      </c>
      <c r="E16" s="189"/>
      <c r="F16" s="192">
        <v>3</v>
      </c>
      <c r="G16" s="1224"/>
      <c r="H16" s="187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92"/>
      <c r="AA16" s="1225">
        <f t="shared" si="3"/>
        <v>4</v>
      </c>
      <c r="AB16" s="1226">
        <f t="shared" si="4"/>
        <v>0</v>
      </c>
      <c r="AC16" s="1227">
        <f t="shared" si="5"/>
        <v>0</v>
      </c>
      <c r="AD16" s="1207"/>
    </row>
    <row r="17" spans="1:30" ht="15.75" customHeight="1">
      <c r="A17" s="1229" t="s">
        <v>71</v>
      </c>
      <c r="B17" s="1223" t="s">
        <v>72</v>
      </c>
      <c r="C17" s="187" t="s">
        <v>46</v>
      </c>
      <c r="D17" s="189" t="s">
        <v>46</v>
      </c>
      <c r="E17" s="189"/>
      <c r="F17" s="192">
        <v>4</v>
      </c>
      <c r="G17" s="1224"/>
      <c r="H17" s="187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92"/>
      <c r="AA17" s="1225">
        <f t="shared" si="3"/>
        <v>4</v>
      </c>
      <c r="AB17" s="1226">
        <f t="shared" si="4"/>
        <v>0</v>
      </c>
      <c r="AC17" s="1227">
        <f t="shared" si="5"/>
        <v>2</v>
      </c>
      <c r="AD17" s="1207"/>
    </row>
    <row r="18" spans="1:30" ht="15.75" customHeight="1">
      <c r="A18" s="1229" t="s">
        <v>73</v>
      </c>
      <c r="B18" s="1237" t="s">
        <v>74</v>
      </c>
      <c r="C18" s="187"/>
      <c r="D18" s="200">
        <v>5</v>
      </c>
      <c r="E18" s="200"/>
      <c r="F18" s="225" t="s">
        <v>46</v>
      </c>
      <c r="G18" s="1240"/>
      <c r="H18" s="221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25"/>
      <c r="AA18" s="1225">
        <f t="shared" si="3"/>
        <v>5</v>
      </c>
      <c r="AB18" s="1226">
        <f t="shared" si="4"/>
        <v>0</v>
      </c>
      <c r="AC18" s="1227">
        <f t="shared" si="5"/>
        <v>1</v>
      </c>
      <c r="AD18" s="1207"/>
    </row>
    <row r="19" spans="1:30" ht="15.75" customHeight="1">
      <c r="A19" s="1230" t="s">
        <v>75</v>
      </c>
      <c r="B19" s="1241" t="s">
        <v>76</v>
      </c>
      <c r="C19" s="239" t="s">
        <v>46</v>
      </c>
      <c r="D19" s="218">
        <v>5</v>
      </c>
      <c r="E19" s="218" t="s">
        <v>46</v>
      </c>
      <c r="F19" s="242">
        <v>5</v>
      </c>
      <c r="G19" s="1243"/>
      <c r="H19" s="239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42"/>
      <c r="AA19" s="1233">
        <f t="shared" si="3"/>
        <v>5</v>
      </c>
      <c r="AB19" s="1234">
        <f t="shared" si="4"/>
        <v>0</v>
      </c>
      <c r="AC19" s="1235">
        <f t="shared" si="5"/>
        <v>2</v>
      </c>
      <c r="AD19" s="1207"/>
    </row>
    <row r="20" spans="1:30" ht="15.75" customHeight="1">
      <c r="A20" s="1236" t="s">
        <v>77</v>
      </c>
      <c r="B20" s="1237" t="s">
        <v>78</v>
      </c>
      <c r="C20" s="1217"/>
      <c r="D20" s="200" t="s">
        <v>46</v>
      </c>
      <c r="E20" s="200"/>
      <c r="F20" s="225">
        <v>5</v>
      </c>
      <c r="G20" s="1240"/>
      <c r="H20" s="221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25"/>
      <c r="AA20" s="1220">
        <f t="shared" si="3"/>
        <v>5</v>
      </c>
      <c r="AB20" s="1221">
        <f t="shared" si="4"/>
        <v>0</v>
      </c>
      <c r="AC20" s="1222">
        <f t="shared" si="5"/>
        <v>1</v>
      </c>
      <c r="AD20" s="1207"/>
    </row>
    <row r="21" spans="1:30" ht="15.75" customHeight="1">
      <c r="A21" s="1229" t="s">
        <v>79</v>
      </c>
      <c r="B21" s="1223" t="s">
        <v>80</v>
      </c>
      <c r="C21" s="187"/>
      <c r="D21" s="189" t="s">
        <v>46</v>
      </c>
      <c r="E21" s="189"/>
      <c r="F21" s="192">
        <v>3</v>
      </c>
      <c r="G21" s="1224"/>
      <c r="H21" s="187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92"/>
      <c r="AA21" s="1225">
        <f t="shared" si="3"/>
        <v>3</v>
      </c>
      <c r="AB21" s="1226">
        <f t="shared" si="4"/>
        <v>0</v>
      </c>
      <c r="AC21" s="1227">
        <f t="shared" si="5"/>
        <v>1</v>
      </c>
      <c r="AD21" s="1207"/>
    </row>
    <row r="22" spans="1:30" ht="15.75" customHeight="1">
      <c r="A22" s="1229" t="s">
        <v>81</v>
      </c>
      <c r="B22" s="1223" t="s">
        <v>648</v>
      </c>
      <c r="C22" s="187"/>
      <c r="D22" s="189">
        <v>5</v>
      </c>
      <c r="E22" s="189" t="s">
        <v>46</v>
      </c>
      <c r="F22" s="190">
        <v>5</v>
      </c>
      <c r="G22" s="1224" t="s">
        <v>48</v>
      </c>
      <c r="H22" s="187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92"/>
      <c r="AA22" s="1225">
        <f t="shared" si="3"/>
        <v>5</v>
      </c>
      <c r="AB22" s="1226">
        <f t="shared" si="4"/>
        <v>1</v>
      </c>
      <c r="AC22" s="1227">
        <f t="shared" si="5"/>
        <v>1</v>
      </c>
      <c r="AD22" s="1207"/>
    </row>
    <row r="23" spans="1:30" ht="15.75" customHeight="1">
      <c r="A23" s="1229" t="s">
        <v>83</v>
      </c>
      <c r="B23" s="1237" t="s">
        <v>84</v>
      </c>
      <c r="C23" s="187" t="s">
        <v>46</v>
      </c>
      <c r="D23" s="200" t="s">
        <v>46</v>
      </c>
      <c r="E23" s="200" t="s">
        <v>46</v>
      </c>
      <c r="F23" s="225" t="s">
        <v>46</v>
      </c>
      <c r="G23" s="1240"/>
      <c r="H23" s="221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25"/>
      <c r="AA23" s="1225" t="str">
        <f t="shared" si="3"/>
        <v>Нет оценок</v>
      </c>
      <c r="AB23" s="1226">
        <f t="shared" si="4"/>
        <v>0</v>
      </c>
      <c r="AC23" s="1227">
        <f t="shared" si="5"/>
        <v>4</v>
      </c>
      <c r="AD23" s="1207"/>
    </row>
    <row r="24" spans="1:30" ht="15.75" customHeight="1">
      <c r="A24" s="1230" t="s">
        <v>27</v>
      </c>
      <c r="B24" s="1241" t="s">
        <v>85</v>
      </c>
      <c r="C24" s="239"/>
      <c r="D24" s="218">
        <v>5</v>
      </c>
      <c r="E24" s="218"/>
      <c r="F24" s="242">
        <v>5</v>
      </c>
      <c r="G24" s="1243"/>
      <c r="H24" s="239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42"/>
      <c r="AA24" s="1233">
        <f t="shared" si="3"/>
        <v>5</v>
      </c>
      <c r="AB24" s="1234">
        <f t="shared" si="4"/>
        <v>0</v>
      </c>
      <c r="AC24" s="1235">
        <f t="shared" si="5"/>
        <v>0</v>
      </c>
      <c r="AD24" s="1207"/>
    </row>
    <row r="25" spans="1:30" ht="15.75" customHeight="1">
      <c r="A25" s="1244" t="s">
        <v>86</v>
      </c>
      <c r="B25" s="1237" t="s">
        <v>87</v>
      </c>
      <c r="C25" s="1217"/>
      <c r="D25" s="200">
        <v>5</v>
      </c>
      <c r="E25" s="200" t="s">
        <v>46</v>
      </c>
      <c r="F25" s="225" t="s">
        <v>46</v>
      </c>
      <c r="G25" s="1240" t="s">
        <v>46</v>
      </c>
      <c r="H25" s="221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25"/>
      <c r="AA25" s="1220">
        <f t="shared" si="3"/>
        <v>5</v>
      </c>
      <c r="AB25" s="1221">
        <f t="shared" si="4"/>
        <v>0</v>
      </c>
      <c r="AC25" s="1222">
        <f t="shared" si="5"/>
        <v>3</v>
      </c>
      <c r="AD25" s="1207"/>
    </row>
    <row r="26" spans="1:30" ht="18.75" hidden="1" customHeight="1">
      <c r="A26" s="980" t="s">
        <v>86</v>
      </c>
      <c r="B26" s="1223" t="s">
        <v>88</v>
      </c>
      <c r="C26" s="187"/>
      <c r="D26" s="189"/>
      <c r="E26" s="189"/>
      <c r="F26" s="192"/>
      <c r="G26" s="1224"/>
      <c r="H26" s="187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92"/>
      <c r="AA26" s="1225" t="str">
        <f t="shared" si="3"/>
        <v>Нет оценок</v>
      </c>
      <c r="AB26" s="1226">
        <f t="shared" si="4"/>
        <v>0</v>
      </c>
      <c r="AC26" s="1227">
        <f t="shared" si="5"/>
        <v>0</v>
      </c>
      <c r="AD26" s="1207"/>
    </row>
    <row r="27" spans="1:30" ht="15.75" customHeight="1">
      <c r="A27" s="980" t="s">
        <v>89</v>
      </c>
      <c r="B27" s="1223" t="s">
        <v>90</v>
      </c>
      <c r="C27" s="187"/>
      <c r="D27" s="189" t="s">
        <v>46</v>
      </c>
      <c r="E27" s="189"/>
      <c r="F27" s="192">
        <v>4</v>
      </c>
      <c r="G27" s="1224"/>
      <c r="H27" s="187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92"/>
      <c r="AA27" s="1225">
        <f t="shared" si="3"/>
        <v>4</v>
      </c>
      <c r="AB27" s="1226">
        <f t="shared" si="4"/>
        <v>0</v>
      </c>
      <c r="AC27" s="1227">
        <f t="shared" si="5"/>
        <v>1</v>
      </c>
      <c r="AD27" s="1207"/>
    </row>
    <row r="28" spans="1:30" ht="15.75" customHeight="1">
      <c r="A28" s="993" t="s">
        <v>91</v>
      </c>
      <c r="B28" s="1241" t="s">
        <v>92</v>
      </c>
      <c r="C28" s="239"/>
      <c r="D28" s="218">
        <v>5</v>
      </c>
      <c r="E28" s="218" t="s">
        <v>46</v>
      </c>
      <c r="F28" s="242">
        <v>4</v>
      </c>
      <c r="G28" s="1243"/>
      <c r="H28" s="239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42"/>
      <c r="AA28" s="1233">
        <f t="shared" si="3"/>
        <v>4.5</v>
      </c>
      <c r="AB28" s="1234">
        <f t="shared" si="4"/>
        <v>0</v>
      </c>
      <c r="AC28" s="1235">
        <f t="shared" si="5"/>
        <v>1</v>
      </c>
      <c r="AD28" s="1207"/>
    </row>
    <row r="29" spans="1:30">
      <c r="A29" s="1245" t="s">
        <v>93</v>
      </c>
      <c r="B29" s="1246" t="s">
        <v>94</v>
      </c>
      <c r="C29" s="1247"/>
      <c r="D29" s="1248"/>
      <c r="E29" s="1248"/>
      <c r="F29" s="1248"/>
      <c r="G29" s="1248"/>
      <c r="H29" s="1248"/>
      <c r="I29" s="1248"/>
      <c r="J29" s="1248"/>
      <c r="K29" s="1248"/>
      <c r="L29" s="1248"/>
      <c r="M29" s="1248"/>
      <c r="N29" s="1248"/>
      <c r="O29" s="1248"/>
      <c r="P29" s="1248"/>
      <c r="Q29" s="1248"/>
      <c r="R29" s="1248"/>
      <c r="S29" s="1248"/>
      <c r="T29" s="1248"/>
      <c r="U29" s="1248"/>
      <c r="V29" s="1248"/>
      <c r="W29" s="1248"/>
      <c r="X29" s="1248"/>
      <c r="Y29" s="1248"/>
      <c r="Z29" s="1248"/>
      <c r="AA29" s="1249">
        <f>IFERROR(AVERAGE(AA5:AA28),"")</f>
        <v>4.5</v>
      </c>
      <c r="AB29" s="1250">
        <f>SUM(AB5:AB28)</f>
        <v>2</v>
      </c>
      <c r="AC29" s="1250">
        <f>SUM(AC5:AC28)</f>
        <v>25</v>
      </c>
      <c r="AD29" s="1207"/>
    </row>
    <row r="30" spans="1:30" ht="25.5">
      <c r="A30" s="1251">
        <v>46063</v>
      </c>
      <c r="B30" s="1252" t="s">
        <v>649</v>
      </c>
      <c r="C30" s="1247"/>
      <c r="D30" s="1248"/>
      <c r="E30" s="1248"/>
      <c r="F30" s="1248"/>
      <c r="G30" s="1248"/>
      <c r="H30" s="1248"/>
      <c r="I30" s="1248"/>
      <c r="J30" s="1248"/>
      <c r="K30" s="1248"/>
      <c r="L30" s="1248"/>
      <c r="M30" s="1248"/>
      <c r="N30" s="1248"/>
      <c r="O30" s="1248"/>
      <c r="P30" s="1248"/>
      <c r="Q30" s="1248"/>
      <c r="R30" s="1248"/>
      <c r="S30" s="1248"/>
      <c r="T30" s="1248"/>
      <c r="U30" s="1248"/>
      <c r="V30" s="1248"/>
      <c r="W30" s="1248"/>
      <c r="X30" s="1248"/>
      <c r="Y30" s="1248"/>
      <c r="Z30" s="1248"/>
      <c r="AA30" s="1248"/>
      <c r="AB30" s="1207"/>
      <c r="AC30" s="1207"/>
      <c r="AD30" s="1207"/>
    </row>
    <row r="31" spans="1:30" ht="25.5">
      <c r="A31" s="1251">
        <v>46065</v>
      </c>
      <c r="B31" s="1252" t="s">
        <v>650</v>
      </c>
      <c r="C31" s="1247"/>
      <c r="D31" s="1248"/>
      <c r="E31" s="1248"/>
      <c r="F31" s="1248"/>
      <c r="G31" s="1248"/>
      <c r="H31" s="1248"/>
      <c r="I31" s="1248"/>
      <c r="J31" s="1248"/>
      <c r="K31" s="1248"/>
      <c r="L31" s="1248"/>
      <c r="M31" s="1248"/>
      <c r="N31" s="1248"/>
      <c r="O31" s="1248"/>
      <c r="P31" s="1248"/>
      <c r="Q31" s="1248"/>
      <c r="R31" s="1248"/>
      <c r="S31" s="1248"/>
      <c r="T31" s="1248"/>
      <c r="U31" s="1248"/>
      <c r="V31" s="1248"/>
      <c r="W31" s="1248"/>
      <c r="X31" s="1248"/>
      <c r="Y31" s="1248"/>
      <c r="Z31" s="1248"/>
      <c r="AA31" s="1248"/>
      <c r="AB31" s="1207"/>
      <c r="AC31" s="1207"/>
      <c r="AD31" s="1207"/>
    </row>
    <row r="32" spans="1:30" ht="25.5">
      <c r="A32" s="1251">
        <v>46066</v>
      </c>
      <c r="B32" s="1252" t="s">
        <v>650</v>
      </c>
      <c r="C32" s="1253"/>
      <c r="D32" s="1207"/>
      <c r="E32" s="1207"/>
      <c r="F32" s="1207"/>
      <c r="G32" s="1207"/>
      <c r="H32" s="1207"/>
      <c r="I32" s="1207"/>
      <c r="J32" s="1207"/>
      <c r="K32" s="1207"/>
      <c r="L32" s="1207"/>
      <c r="M32" s="1207"/>
      <c r="N32" s="1207"/>
      <c r="O32" s="1207"/>
      <c r="P32" s="1207"/>
      <c r="Q32" s="1207"/>
      <c r="R32" s="1207"/>
      <c r="S32" s="1207"/>
      <c r="T32" s="1207"/>
      <c r="U32" s="1207"/>
      <c r="V32" s="1207"/>
      <c r="W32" s="1207"/>
      <c r="X32" s="1207"/>
      <c r="Y32" s="1207"/>
      <c r="Z32" s="1207"/>
      <c r="AA32" s="1207"/>
      <c r="AB32" s="1207"/>
      <c r="AC32" s="1207"/>
      <c r="AD32" s="1207"/>
    </row>
    <row r="33" spans="1:30" ht="38.25">
      <c r="A33" s="1251">
        <v>46066</v>
      </c>
      <c r="B33" s="1252" t="s">
        <v>651</v>
      </c>
      <c r="C33" s="1253" t="s">
        <v>324</v>
      </c>
      <c r="D33" s="1207"/>
      <c r="E33" s="1207"/>
      <c r="F33" s="1207"/>
      <c r="G33" s="1207"/>
      <c r="H33" s="1207"/>
      <c r="I33" s="1207"/>
      <c r="J33" s="1207"/>
      <c r="K33" s="1207"/>
      <c r="L33" s="1207"/>
      <c r="M33" s="1207"/>
      <c r="N33" s="1207"/>
      <c r="O33" s="1207"/>
      <c r="P33" s="1207"/>
      <c r="Q33" s="1207"/>
      <c r="R33" s="1207"/>
      <c r="S33" s="1207"/>
      <c r="T33" s="1207"/>
      <c r="U33" s="1207"/>
      <c r="V33" s="1207"/>
      <c r="W33" s="1207"/>
      <c r="X33" s="1207"/>
      <c r="Y33" s="1207"/>
      <c r="Z33" s="1207"/>
      <c r="AA33" s="1207"/>
      <c r="AB33" s="1207"/>
      <c r="AC33" s="1207"/>
      <c r="AD33" s="1207"/>
    </row>
    <row r="34" spans="1:30" ht="25.5">
      <c r="A34" s="1251">
        <v>46078</v>
      </c>
      <c r="B34" s="1252" t="s">
        <v>652</v>
      </c>
      <c r="C34" s="1253"/>
      <c r="D34" s="1207"/>
      <c r="E34" s="1207"/>
      <c r="F34" s="1207"/>
      <c r="G34" s="1207"/>
      <c r="H34" s="1207"/>
      <c r="I34" s="1207"/>
      <c r="J34" s="1207"/>
      <c r="K34" s="1207"/>
      <c r="L34" s="1207"/>
      <c r="M34" s="1207"/>
      <c r="N34" s="1207"/>
      <c r="O34" s="1207"/>
      <c r="P34" s="1207"/>
      <c r="Q34" s="1207"/>
      <c r="R34" s="1207"/>
      <c r="S34" s="1207"/>
      <c r="T34" s="1207"/>
      <c r="U34" s="1207"/>
      <c r="V34" s="1207"/>
      <c r="W34" s="1207"/>
      <c r="X34" s="1207"/>
      <c r="Y34" s="1207"/>
      <c r="Z34" s="1207"/>
      <c r="AA34" s="1207"/>
      <c r="AB34" s="1207"/>
      <c r="AC34" s="1207"/>
      <c r="AD34" s="1207"/>
    </row>
    <row r="35" spans="1:30">
      <c r="A35" s="1254"/>
      <c r="B35" s="1252"/>
      <c r="C35" s="1253"/>
      <c r="D35" s="1207"/>
      <c r="E35" s="1207"/>
      <c r="F35" s="1207"/>
      <c r="G35" s="1207"/>
      <c r="H35" s="1207"/>
      <c r="I35" s="1207"/>
      <c r="J35" s="1207"/>
      <c r="K35" s="1207"/>
      <c r="L35" s="1207"/>
      <c r="M35" s="1207"/>
      <c r="N35" s="1207"/>
      <c r="O35" s="1207"/>
      <c r="P35" s="1207"/>
      <c r="Q35" s="1207"/>
      <c r="R35" s="1207"/>
      <c r="S35" s="1207"/>
      <c r="T35" s="1207"/>
      <c r="U35" s="1207"/>
      <c r="V35" s="1207"/>
      <c r="W35" s="1207"/>
      <c r="X35" s="1207"/>
      <c r="Y35" s="1207"/>
      <c r="Z35" s="1207"/>
      <c r="AA35" s="1207"/>
      <c r="AB35" s="1207"/>
      <c r="AC35" s="1207"/>
      <c r="AD35" s="1207"/>
    </row>
    <row r="36" spans="1:30">
      <c r="A36" s="1254"/>
      <c r="B36" s="1252"/>
      <c r="C36" s="1253"/>
      <c r="D36" s="1207"/>
      <c r="E36" s="1207"/>
      <c r="F36" s="1207"/>
      <c r="G36" s="1207"/>
      <c r="H36" s="1207"/>
      <c r="I36" s="1207"/>
      <c r="J36" s="1207"/>
      <c r="K36" s="1207"/>
      <c r="L36" s="1207"/>
      <c r="M36" s="1207"/>
      <c r="N36" s="1207"/>
      <c r="O36" s="1207"/>
      <c r="P36" s="1207"/>
      <c r="Q36" s="1207"/>
      <c r="R36" s="1207"/>
      <c r="S36" s="1207"/>
      <c r="T36" s="1207"/>
      <c r="U36" s="1207"/>
      <c r="V36" s="1207"/>
      <c r="W36" s="1207"/>
      <c r="X36" s="1207"/>
      <c r="Y36" s="1207"/>
      <c r="Z36" s="1207"/>
      <c r="AA36" s="1207"/>
      <c r="AB36" s="1207"/>
      <c r="AC36" s="1207"/>
      <c r="AD36" s="1207"/>
    </row>
    <row r="37" spans="1:30">
      <c r="A37" s="1254"/>
      <c r="B37" s="1252"/>
      <c r="C37" s="1253"/>
      <c r="D37" s="1207"/>
      <c r="E37" s="1207"/>
      <c r="F37" s="1207"/>
      <c r="G37" s="1207"/>
      <c r="H37" s="1207"/>
      <c r="I37" s="1207"/>
      <c r="J37" s="1207"/>
      <c r="K37" s="1207"/>
      <c r="L37" s="1207"/>
      <c r="M37" s="1207"/>
      <c r="N37" s="1207"/>
      <c r="O37" s="1207"/>
      <c r="P37" s="1207"/>
      <c r="Q37" s="1207"/>
      <c r="R37" s="1207"/>
      <c r="S37" s="1207"/>
      <c r="T37" s="1207"/>
      <c r="U37" s="1207"/>
      <c r="V37" s="1207"/>
      <c r="W37" s="1207"/>
      <c r="X37" s="1207"/>
      <c r="Y37" s="1207"/>
      <c r="Z37" s="1207"/>
      <c r="AA37" s="1207"/>
      <c r="AB37" s="1207"/>
      <c r="AC37" s="1207"/>
      <c r="AD37" s="1207"/>
    </row>
    <row r="38" spans="1:30">
      <c r="A38" s="1254"/>
      <c r="B38" s="1252"/>
      <c r="C38" s="1253"/>
      <c r="D38" s="1207"/>
      <c r="E38" s="1207"/>
      <c r="F38" s="1207"/>
      <c r="G38" s="1207"/>
      <c r="H38" s="1207"/>
      <c r="I38" s="1207"/>
      <c r="J38" s="1207"/>
      <c r="K38" s="1207"/>
      <c r="L38" s="1207"/>
      <c r="M38" s="1207"/>
      <c r="N38" s="1207"/>
      <c r="O38" s="1207"/>
      <c r="P38" s="1207"/>
      <c r="Q38" s="1207"/>
      <c r="R38" s="1207"/>
      <c r="S38" s="1207"/>
      <c r="T38" s="1207"/>
      <c r="U38" s="1207"/>
      <c r="V38" s="1207"/>
      <c r="W38" s="1207"/>
      <c r="X38" s="1207"/>
      <c r="Y38" s="1207"/>
      <c r="Z38" s="1207"/>
      <c r="AA38" s="1207"/>
      <c r="AB38" s="1207"/>
      <c r="AC38" s="1207"/>
      <c r="AD38" s="1207"/>
    </row>
    <row r="39" spans="1:30">
      <c r="A39" s="1254"/>
      <c r="B39" s="1252"/>
      <c r="C39" s="1253"/>
      <c r="D39" s="1207"/>
      <c r="E39" s="1207"/>
      <c r="F39" s="1207"/>
      <c r="G39" s="1207"/>
      <c r="H39" s="1207"/>
      <c r="I39" s="1207"/>
      <c r="J39" s="1207"/>
      <c r="K39" s="1207"/>
      <c r="L39" s="1207"/>
      <c r="M39" s="1207"/>
      <c r="N39" s="1207"/>
      <c r="O39" s="1207"/>
      <c r="P39" s="1207"/>
      <c r="Q39" s="1207"/>
      <c r="R39" s="1207"/>
      <c r="S39" s="1207"/>
      <c r="T39" s="1207"/>
      <c r="U39" s="1207"/>
      <c r="V39" s="1207"/>
      <c r="W39" s="1207"/>
      <c r="X39" s="1207"/>
      <c r="Y39" s="1207"/>
      <c r="Z39" s="1207"/>
      <c r="AA39" s="1207"/>
      <c r="AB39" s="1207"/>
      <c r="AC39" s="1207"/>
      <c r="AD39" s="1207"/>
    </row>
    <row r="40" spans="1:30">
      <c r="A40" s="1254"/>
      <c r="B40" s="1252"/>
      <c r="C40" s="1253"/>
      <c r="D40" s="1207"/>
      <c r="E40" s="1207"/>
      <c r="F40" s="1207"/>
      <c r="G40" s="1207"/>
      <c r="H40" s="1207"/>
      <c r="I40" s="1207"/>
      <c r="J40" s="1207"/>
      <c r="K40" s="1207"/>
      <c r="L40" s="1207"/>
      <c r="M40" s="1207"/>
      <c r="N40" s="1207"/>
      <c r="O40" s="1207"/>
      <c r="P40" s="1207"/>
      <c r="Q40" s="1207"/>
      <c r="R40" s="1207"/>
      <c r="S40" s="1207"/>
      <c r="T40" s="1207"/>
      <c r="U40" s="1207"/>
      <c r="V40" s="1207"/>
      <c r="W40" s="1207"/>
      <c r="X40" s="1207"/>
      <c r="Y40" s="1207"/>
      <c r="Z40" s="1207"/>
      <c r="AA40" s="1207"/>
      <c r="AB40" s="1207"/>
      <c r="AC40" s="1207"/>
      <c r="AD40" s="1207"/>
    </row>
    <row r="41" spans="1:30">
      <c r="A41" s="1254"/>
      <c r="B41" s="1252"/>
      <c r="C41" s="1253"/>
      <c r="D41" s="1207"/>
      <c r="E41" s="1207"/>
      <c r="F41" s="1207"/>
      <c r="G41" s="1207"/>
      <c r="H41" s="1207"/>
      <c r="I41" s="1207"/>
      <c r="J41" s="1207"/>
      <c r="K41" s="1207"/>
      <c r="L41" s="1207"/>
      <c r="M41" s="1207"/>
      <c r="N41" s="1207"/>
      <c r="O41" s="1207"/>
      <c r="P41" s="1207"/>
      <c r="Q41" s="1207"/>
      <c r="R41" s="1207"/>
      <c r="S41" s="1207"/>
      <c r="T41" s="1207"/>
      <c r="U41" s="1207"/>
      <c r="V41" s="1207"/>
      <c r="W41" s="1207"/>
      <c r="X41" s="1207"/>
      <c r="Y41" s="1207"/>
      <c r="Z41" s="1207"/>
      <c r="AA41" s="1207"/>
      <c r="AB41" s="1207"/>
      <c r="AC41" s="1207"/>
      <c r="AD41" s="1207"/>
    </row>
    <row r="42" spans="1:30">
      <c r="A42" s="1254"/>
      <c r="B42" s="1252"/>
      <c r="C42" s="1253"/>
      <c r="D42" s="1207"/>
      <c r="E42" s="1207"/>
      <c r="F42" s="1207"/>
      <c r="G42" s="1207"/>
      <c r="H42" s="1207"/>
      <c r="I42" s="1207"/>
      <c r="J42" s="1207"/>
      <c r="K42" s="1207"/>
      <c r="L42" s="1207"/>
      <c r="M42" s="1207"/>
      <c r="N42" s="1207"/>
      <c r="O42" s="1207"/>
      <c r="P42" s="1207"/>
      <c r="Q42" s="1207"/>
      <c r="R42" s="1207"/>
      <c r="S42" s="1207"/>
      <c r="T42" s="1207"/>
      <c r="U42" s="1207"/>
      <c r="V42" s="1207"/>
      <c r="W42" s="1207"/>
      <c r="X42" s="1207"/>
      <c r="Y42" s="1207"/>
      <c r="Z42" s="1207"/>
      <c r="AA42" s="1207"/>
      <c r="AB42" s="1207"/>
      <c r="AC42" s="1207"/>
      <c r="AD42" s="1207"/>
    </row>
    <row r="43" spans="1:30">
      <c r="A43" s="1254"/>
      <c r="B43" s="1252"/>
      <c r="C43" s="1253"/>
      <c r="D43" s="1207"/>
      <c r="E43" s="1207"/>
      <c r="F43" s="1207"/>
      <c r="G43" s="1207"/>
      <c r="H43" s="1207"/>
      <c r="I43" s="1207"/>
      <c r="J43" s="1207"/>
      <c r="K43" s="1207"/>
      <c r="L43" s="1207"/>
      <c r="M43" s="1207"/>
      <c r="N43" s="1207"/>
      <c r="O43" s="1207"/>
      <c r="P43" s="1207"/>
      <c r="Q43" s="1207"/>
      <c r="R43" s="1207"/>
      <c r="S43" s="1207"/>
      <c r="T43" s="1207"/>
      <c r="U43" s="1207"/>
      <c r="V43" s="1207"/>
      <c r="W43" s="1207"/>
      <c r="X43" s="1207"/>
      <c r="Y43" s="1207"/>
      <c r="Z43" s="1207"/>
      <c r="AA43" s="1207"/>
      <c r="AB43" s="1207"/>
      <c r="AC43" s="1207"/>
      <c r="AD43" s="1207"/>
    </row>
    <row r="44" spans="1:30">
      <c r="A44" s="1254"/>
      <c r="B44" s="1252"/>
      <c r="C44" s="1253"/>
      <c r="D44" s="1207"/>
      <c r="E44" s="1207"/>
      <c r="F44" s="1207"/>
      <c r="G44" s="1207"/>
      <c r="H44" s="1207"/>
      <c r="I44" s="1207"/>
      <c r="J44" s="1207"/>
      <c r="K44" s="1207"/>
      <c r="L44" s="1207"/>
      <c r="M44" s="1207"/>
      <c r="N44" s="1207"/>
      <c r="O44" s="1207"/>
      <c r="P44" s="1207"/>
      <c r="Q44" s="1207"/>
      <c r="R44" s="1207"/>
      <c r="S44" s="1207"/>
      <c r="T44" s="1207"/>
      <c r="U44" s="1207"/>
      <c r="V44" s="1207"/>
      <c r="W44" s="1207"/>
      <c r="X44" s="1207"/>
      <c r="Y44" s="1207"/>
      <c r="Z44" s="1207"/>
      <c r="AA44" s="1207"/>
      <c r="AB44" s="1207"/>
      <c r="AC44" s="1207"/>
      <c r="AD44" s="1207"/>
    </row>
    <row r="45" spans="1:30">
      <c r="A45" s="1254"/>
      <c r="B45" s="1252"/>
      <c r="C45" s="1253"/>
      <c r="D45" s="1207"/>
      <c r="E45" s="1207"/>
      <c r="F45" s="1207"/>
      <c r="G45" s="1207"/>
      <c r="H45" s="1207"/>
      <c r="I45" s="1207"/>
      <c r="J45" s="1207"/>
      <c r="K45" s="1207"/>
      <c r="L45" s="1207"/>
      <c r="M45" s="1207"/>
      <c r="N45" s="1207"/>
      <c r="O45" s="1207"/>
      <c r="P45" s="1207"/>
      <c r="Q45" s="1207"/>
      <c r="R45" s="1207"/>
      <c r="S45" s="1207"/>
      <c r="T45" s="1207"/>
      <c r="U45" s="1207"/>
      <c r="V45" s="1207"/>
      <c r="W45" s="1207"/>
      <c r="X45" s="1207"/>
      <c r="Y45" s="1207"/>
      <c r="Z45" s="1207"/>
      <c r="AA45" s="1207"/>
      <c r="AB45" s="1207"/>
      <c r="AC45" s="1207"/>
      <c r="AD45" s="1207"/>
    </row>
    <row r="46" spans="1:30">
      <c r="A46" s="1254"/>
      <c r="B46" s="1252"/>
      <c r="C46" s="1253"/>
      <c r="D46" s="1207"/>
      <c r="E46" s="1207"/>
      <c r="F46" s="1207"/>
      <c r="G46" s="1207"/>
      <c r="H46" s="1207"/>
      <c r="I46" s="1207"/>
      <c r="J46" s="1207"/>
      <c r="K46" s="1207"/>
      <c r="L46" s="1207"/>
      <c r="M46" s="1207"/>
      <c r="N46" s="1207"/>
      <c r="O46" s="1207"/>
      <c r="P46" s="1207"/>
      <c r="Q46" s="1207"/>
      <c r="R46" s="1207"/>
      <c r="S46" s="1207"/>
      <c r="T46" s="1207"/>
      <c r="U46" s="1207"/>
      <c r="V46" s="1207"/>
      <c r="W46" s="1207"/>
      <c r="X46" s="1207"/>
      <c r="Y46" s="1207"/>
      <c r="Z46" s="1207"/>
      <c r="AA46" s="1207"/>
      <c r="AB46" s="1207"/>
      <c r="AC46" s="1207"/>
      <c r="AD46" s="1207"/>
    </row>
    <row r="47" spans="1:30">
      <c r="A47" s="1254"/>
      <c r="B47" s="1252"/>
      <c r="C47" s="1253"/>
      <c r="D47" s="1207"/>
      <c r="E47" s="1207"/>
      <c r="F47" s="1207"/>
      <c r="G47" s="1207"/>
      <c r="H47" s="1207"/>
      <c r="I47" s="1207"/>
      <c r="J47" s="1207"/>
      <c r="K47" s="1207"/>
      <c r="L47" s="1207"/>
      <c r="M47" s="1207"/>
      <c r="N47" s="1207"/>
      <c r="O47" s="1207"/>
      <c r="P47" s="1207"/>
      <c r="Q47" s="1207"/>
      <c r="R47" s="1207"/>
      <c r="S47" s="1207"/>
      <c r="T47" s="1207"/>
      <c r="U47" s="1207"/>
      <c r="V47" s="1207"/>
      <c r="W47" s="1207"/>
      <c r="X47" s="1207"/>
      <c r="Y47" s="1207"/>
      <c r="Z47" s="1207"/>
      <c r="AA47" s="1207"/>
      <c r="AB47" s="1207"/>
      <c r="AC47" s="1207"/>
      <c r="AD47" s="1207"/>
    </row>
    <row r="48" spans="1:30">
      <c r="A48" s="1254"/>
      <c r="B48" s="1252"/>
      <c r="C48" s="1253"/>
      <c r="D48" s="1207"/>
      <c r="E48" s="1207"/>
      <c r="F48" s="1207"/>
      <c r="G48" s="1207"/>
      <c r="H48" s="1207"/>
      <c r="I48" s="1207"/>
      <c r="J48" s="1207"/>
      <c r="K48" s="1207"/>
      <c r="L48" s="1207"/>
      <c r="M48" s="1207"/>
      <c r="N48" s="1207"/>
      <c r="O48" s="1207"/>
      <c r="P48" s="1207"/>
      <c r="Q48" s="1207"/>
      <c r="R48" s="1207"/>
      <c r="S48" s="1207"/>
      <c r="T48" s="1207"/>
      <c r="U48" s="1207"/>
      <c r="V48" s="1207"/>
      <c r="W48" s="1207"/>
      <c r="X48" s="1207"/>
      <c r="Y48" s="1207"/>
      <c r="Z48" s="1207"/>
      <c r="AA48" s="1207"/>
      <c r="AB48" s="1207"/>
      <c r="AC48" s="1207"/>
      <c r="AD48" s="1207"/>
    </row>
    <row r="49" spans="1:30">
      <c r="A49" s="1254"/>
      <c r="B49" s="1252"/>
      <c r="C49" s="1253"/>
      <c r="D49" s="1207"/>
      <c r="E49" s="1207"/>
      <c r="F49" s="1207"/>
      <c r="G49" s="1207"/>
      <c r="H49" s="1207"/>
      <c r="I49" s="1207"/>
      <c r="J49" s="1207"/>
      <c r="K49" s="1207"/>
      <c r="L49" s="1207"/>
      <c r="M49" s="1207"/>
      <c r="N49" s="1207"/>
      <c r="O49" s="1207"/>
      <c r="P49" s="1207"/>
      <c r="Q49" s="1207"/>
      <c r="R49" s="1207"/>
      <c r="S49" s="1207"/>
      <c r="T49" s="1207"/>
      <c r="U49" s="1207"/>
      <c r="V49" s="1207"/>
      <c r="W49" s="1207"/>
      <c r="X49" s="1207"/>
      <c r="Y49" s="1207"/>
      <c r="Z49" s="1207"/>
      <c r="AA49" s="1207"/>
      <c r="AB49" s="1207"/>
      <c r="AC49" s="1207"/>
      <c r="AD49" s="1207"/>
    </row>
    <row r="50" spans="1:30">
      <c r="A50" s="1254"/>
      <c r="B50" s="1252"/>
      <c r="C50" s="1253"/>
      <c r="D50" s="1207"/>
      <c r="E50" s="1207"/>
      <c r="F50" s="1207"/>
      <c r="G50" s="1207"/>
      <c r="H50" s="1207"/>
      <c r="I50" s="1207"/>
      <c r="J50" s="1207"/>
      <c r="K50" s="1207"/>
      <c r="L50" s="1207"/>
      <c r="M50" s="1207"/>
      <c r="N50" s="1207"/>
      <c r="O50" s="1207"/>
      <c r="P50" s="1207"/>
      <c r="Q50" s="1207"/>
      <c r="R50" s="1207"/>
      <c r="S50" s="1207"/>
      <c r="T50" s="1207"/>
      <c r="U50" s="1207"/>
      <c r="V50" s="1207"/>
      <c r="W50" s="1207"/>
      <c r="X50" s="1207"/>
      <c r="Y50" s="1207"/>
      <c r="Z50" s="1207"/>
      <c r="AA50" s="1207"/>
      <c r="AB50" s="1207"/>
      <c r="AC50" s="1207"/>
      <c r="AD50" s="1207"/>
    </row>
    <row r="51" spans="1:30">
      <c r="A51" s="1254"/>
      <c r="B51" s="1252"/>
      <c r="C51" s="1253"/>
      <c r="D51" s="1207"/>
      <c r="E51" s="1207"/>
      <c r="F51" s="1207"/>
      <c r="G51" s="1207"/>
      <c r="H51" s="1207"/>
      <c r="I51" s="1207"/>
      <c r="J51" s="1207"/>
      <c r="K51" s="1207"/>
      <c r="L51" s="1207"/>
      <c r="M51" s="1207"/>
      <c r="N51" s="1207"/>
      <c r="O51" s="1207"/>
      <c r="P51" s="1207"/>
      <c r="Q51" s="1207"/>
      <c r="R51" s="1207"/>
      <c r="S51" s="1207"/>
      <c r="T51" s="1207"/>
      <c r="U51" s="1207"/>
      <c r="V51" s="1207"/>
      <c r="W51" s="1207"/>
      <c r="X51" s="1207"/>
      <c r="Y51" s="1207"/>
      <c r="Z51" s="1207"/>
      <c r="AA51" s="1207"/>
      <c r="AB51" s="1207"/>
      <c r="AC51" s="1207"/>
      <c r="AD51" s="1207"/>
    </row>
    <row r="52" spans="1:30">
      <c r="A52" s="1254"/>
      <c r="B52" s="1252"/>
      <c r="C52" s="1253"/>
      <c r="D52" s="1207"/>
      <c r="E52" s="1207"/>
      <c r="F52" s="1207"/>
      <c r="G52" s="1207"/>
      <c r="H52" s="1207"/>
      <c r="I52" s="1207"/>
      <c r="J52" s="1207"/>
      <c r="K52" s="1207"/>
      <c r="L52" s="1207"/>
      <c r="M52" s="1207"/>
      <c r="N52" s="1207"/>
      <c r="O52" s="1207"/>
      <c r="P52" s="1207"/>
      <c r="Q52" s="1207"/>
      <c r="R52" s="1207"/>
      <c r="S52" s="1207"/>
      <c r="T52" s="1207"/>
      <c r="U52" s="1207"/>
      <c r="V52" s="1207"/>
      <c r="W52" s="1207"/>
      <c r="X52" s="1207"/>
      <c r="Y52" s="1207"/>
      <c r="Z52" s="1207"/>
      <c r="AA52" s="1207"/>
      <c r="AB52" s="1207"/>
      <c r="AC52" s="1207"/>
      <c r="AD52" s="1207"/>
    </row>
    <row r="53" spans="1:30">
      <c r="A53" s="1254"/>
      <c r="B53" s="1252"/>
      <c r="C53" s="1253"/>
      <c r="D53" s="1207"/>
      <c r="E53" s="1207"/>
      <c r="F53" s="1207"/>
      <c r="G53" s="1207"/>
      <c r="H53" s="1207"/>
      <c r="I53" s="1207"/>
      <c r="J53" s="1207"/>
      <c r="K53" s="1207"/>
      <c r="L53" s="1207"/>
      <c r="M53" s="1207"/>
      <c r="N53" s="1207"/>
      <c r="O53" s="1207"/>
      <c r="P53" s="1207"/>
      <c r="Q53" s="1207"/>
      <c r="R53" s="1207"/>
      <c r="S53" s="1207"/>
      <c r="T53" s="1207"/>
      <c r="U53" s="1207"/>
      <c r="V53" s="1207"/>
      <c r="W53" s="1207"/>
      <c r="X53" s="1207"/>
      <c r="Y53" s="1207"/>
      <c r="Z53" s="1207"/>
      <c r="AA53" s="1207"/>
      <c r="AB53" s="1207"/>
      <c r="AC53" s="1207"/>
      <c r="AD53" s="1207"/>
    </row>
    <row r="54" spans="1:30">
      <c r="A54" s="1254"/>
      <c r="B54" s="1252"/>
      <c r="C54" s="1253"/>
      <c r="D54" s="1207"/>
      <c r="E54" s="1207"/>
      <c r="F54" s="1207"/>
      <c r="G54" s="1207"/>
      <c r="H54" s="1207"/>
      <c r="I54" s="1207"/>
      <c r="J54" s="1207"/>
      <c r="K54" s="1207"/>
      <c r="L54" s="1207"/>
      <c r="M54" s="1207"/>
      <c r="N54" s="1207"/>
      <c r="O54" s="1207"/>
      <c r="P54" s="1207"/>
      <c r="Q54" s="1207"/>
      <c r="R54" s="1207"/>
      <c r="S54" s="1207"/>
      <c r="T54" s="1207"/>
      <c r="U54" s="1207"/>
      <c r="V54" s="1207"/>
      <c r="W54" s="1207"/>
      <c r="X54" s="1207"/>
      <c r="Y54" s="1207"/>
      <c r="Z54" s="1207"/>
      <c r="AA54" s="1207"/>
      <c r="AB54" s="1207"/>
      <c r="AC54" s="1207"/>
      <c r="AD54" s="1207"/>
    </row>
    <row r="55" spans="1:30">
      <c r="A55" s="1254"/>
      <c r="B55" s="1252"/>
      <c r="C55" s="1253"/>
      <c r="D55" s="1207"/>
      <c r="E55" s="1207"/>
      <c r="F55" s="1207"/>
      <c r="G55" s="1207"/>
      <c r="H55" s="1207"/>
      <c r="I55" s="1207"/>
      <c r="J55" s="1207"/>
      <c r="K55" s="1207"/>
      <c r="L55" s="1207"/>
      <c r="M55" s="1207"/>
      <c r="N55" s="1207"/>
      <c r="O55" s="1207"/>
      <c r="P55" s="1207"/>
      <c r="Q55" s="1207"/>
      <c r="R55" s="1207"/>
      <c r="S55" s="1207"/>
      <c r="T55" s="1207"/>
      <c r="U55" s="1207"/>
      <c r="V55" s="1207"/>
      <c r="W55" s="1207"/>
      <c r="X55" s="1207"/>
      <c r="Y55" s="1207"/>
      <c r="Z55" s="1207"/>
      <c r="AA55" s="1207"/>
      <c r="AB55" s="1207"/>
      <c r="AC55" s="1207"/>
      <c r="AD55" s="1207"/>
    </row>
    <row r="56" spans="1:30">
      <c r="A56" s="1254"/>
      <c r="B56" s="1252"/>
      <c r="C56" s="1207"/>
      <c r="D56" s="1207"/>
      <c r="E56" s="1207"/>
      <c r="F56" s="1207"/>
      <c r="G56" s="1207"/>
      <c r="H56" s="1207"/>
      <c r="I56" s="1207"/>
      <c r="J56" s="1207"/>
      <c r="K56" s="1207"/>
      <c r="L56" s="1207"/>
      <c r="M56" s="1207"/>
      <c r="N56" s="1207"/>
      <c r="O56" s="1207"/>
      <c r="P56" s="1207"/>
      <c r="Q56" s="1207"/>
      <c r="R56" s="1207"/>
      <c r="S56" s="1207"/>
      <c r="T56" s="1207"/>
      <c r="U56" s="1207"/>
      <c r="V56" s="1207"/>
      <c r="W56" s="1207"/>
      <c r="X56" s="1207"/>
      <c r="Y56" s="1207"/>
      <c r="Z56" s="1207"/>
      <c r="AA56" s="1207"/>
      <c r="AB56" s="1207"/>
      <c r="AC56" s="1207"/>
      <c r="AD56" s="1207"/>
    </row>
    <row r="57" spans="1:30">
      <c r="A57" s="1254"/>
      <c r="B57" s="1252"/>
      <c r="C57" s="1207"/>
      <c r="D57" s="1207"/>
      <c r="E57" s="1207"/>
      <c r="F57" s="1207"/>
      <c r="G57" s="1207"/>
      <c r="H57" s="1207"/>
      <c r="I57" s="1207"/>
      <c r="J57" s="1207"/>
      <c r="K57" s="1207"/>
      <c r="L57" s="1207"/>
      <c r="M57" s="1207"/>
      <c r="N57" s="1207"/>
      <c r="O57" s="1207"/>
      <c r="P57" s="1207"/>
      <c r="Q57" s="1207"/>
      <c r="R57" s="1207"/>
      <c r="S57" s="1207"/>
      <c r="T57" s="1207"/>
      <c r="U57" s="1207"/>
      <c r="V57" s="1207"/>
      <c r="W57" s="1207"/>
      <c r="X57" s="1207"/>
      <c r="Y57" s="1207"/>
      <c r="Z57" s="1207"/>
      <c r="AA57" s="1207"/>
      <c r="AB57" s="1207"/>
      <c r="AC57" s="1207"/>
      <c r="AD57" s="1207"/>
    </row>
    <row r="58" spans="1:30">
      <c r="A58" s="1254"/>
      <c r="B58" s="1252"/>
      <c r="C58" s="1207"/>
      <c r="D58" s="1207"/>
      <c r="E58" s="1207"/>
      <c r="F58" s="1207"/>
      <c r="G58" s="1207"/>
      <c r="H58" s="1207"/>
      <c r="I58" s="1207"/>
      <c r="J58" s="1207"/>
      <c r="K58" s="1207"/>
      <c r="L58" s="1207"/>
      <c r="M58" s="1207"/>
      <c r="N58" s="1207"/>
      <c r="O58" s="1207"/>
      <c r="P58" s="1207"/>
      <c r="Q58" s="1207"/>
      <c r="R58" s="1207"/>
      <c r="S58" s="1207"/>
      <c r="T58" s="1207"/>
      <c r="U58" s="1207"/>
      <c r="V58" s="1207"/>
      <c r="W58" s="1207"/>
      <c r="X58" s="1207"/>
      <c r="Y58" s="1207"/>
      <c r="Z58" s="1207"/>
      <c r="AA58" s="1207"/>
      <c r="AB58" s="1207"/>
      <c r="AC58" s="1207"/>
      <c r="AD58" s="1207"/>
    </row>
    <row r="59" spans="1:30">
      <c r="A59" s="1254"/>
      <c r="B59" s="1252"/>
      <c r="C59" s="1207"/>
      <c r="D59" s="1207"/>
      <c r="E59" s="1207"/>
      <c r="F59" s="1207"/>
      <c r="G59" s="1207"/>
      <c r="H59" s="1207"/>
      <c r="I59" s="1207"/>
      <c r="J59" s="1207"/>
      <c r="K59" s="1207"/>
      <c r="L59" s="1207"/>
      <c r="M59" s="1207"/>
      <c r="N59" s="1207"/>
      <c r="O59" s="1207"/>
      <c r="P59" s="1207"/>
      <c r="Q59" s="1207"/>
      <c r="R59" s="1207"/>
      <c r="S59" s="1207"/>
      <c r="T59" s="1207"/>
      <c r="U59" s="1207"/>
      <c r="V59" s="1207"/>
      <c r="W59" s="1207"/>
      <c r="X59" s="1207"/>
      <c r="Y59" s="1207"/>
      <c r="Z59" s="1207"/>
      <c r="AA59" s="1207"/>
      <c r="AB59" s="1207"/>
      <c r="AC59" s="1207"/>
      <c r="AD59" s="1207"/>
    </row>
    <row r="60" spans="1:30">
      <c r="A60" s="1254"/>
      <c r="B60" s="1252"/>
      <c r="C60" s="1207"/>
      <c r="D60" s="1207"/>
      <c r="E60" s="1207"/>
      <c r="F60" s="1207"/>
      <c r="G60" s="1207"/>
      <c r="H60" s="1207"/>
      <c r="I60" s="1207"/>
      <c r="J60" s="1207"/>
      <c r="K60" s="1207"/>
      <c r="L60" s="1207"/>
      <c r="M60" s="1207"/>
      <c r="N60" s="1207"/>
      <c r="O60" s="1207"/>
      <c r="P60" s="1207"/>
      <c r="Q60" s="1207"/>
      <c r="R60" s="1207"/>
      <c r="S60" s="1207"/>
      <c r="T60" s="1207"/>
      <c r="U60" s="1207"/>
      <c r="V60" s="1207"/>
      <c r="W60" s="1207"/>
      <c r="X60" s="1207"/>
      <c r="Y60" s="1207"/>
      <c r="Z60" s="1207"/>
      <c r="AA60" s="1207"/>
      <c r="AB60" s="1207"/>
      <c r="AC60" s="1207"/>
      <c r="AD60" s="1207"/>
    </row>
    <row r="61" spans="1:30">
      <c r="A61" s="1254"/>
      <c r="B61" s="1252"/>
      <c r="C61" s="1207"/>
      <c r="D61" s="1207"/>
      <c r="E61" s="1207"/>
      <c r="F61" s="1207"/>
      <c r="G61" s="1207"/>
      <c r="H61" s="1207"/>
      <c r="I61" s="1207"/>
      <c r="J61" s="1207"/>
      <c r="K61" s="1207"/>
      <c r="L61" s="1207"/>
      <c r="M61" s="1207"/>
      <c r="N61" s="1207"/>
      <c r="O61" s="1207"/>
      <c r="P61" s="1207"/>
      <c r="Q61" s="1207"/>
      <c r="R61" s="1207"/>
      <c r="S61" s="1207"/>
      <c r="T61" s="1207"/>
      <c r="U61" s="1207"/>
      <c r="V61" s="1207"/>
      <c r="W61" s="1207"/>
      <c r="X61" s="1207"/>
      <c r="Y61" s="1207"/>
      <c r="Z61" s="1207"/>
      <c r="AA61" s="1207"/>
      <c r="AB61" s="1207"/>
      <c r="AC61" s="1207"/>
      <c r="AD61" s="1207"/>
    </row>
    <row r="62" spans="1:30">
      <c r="A62" s="1254"/>
      <c r="B62" s="1252"/>
      <c r="C62" s="1207"/>
      <c r="D62" s="1207"/>
      <c r="E62" s="1207"/>
      <c r="F62" s="1207"/>
      <c r="G62" s="1207"/>
      <c r="H62" s="1207"/>
      <c r="I62" s="1207"/>
      <c r="J62" s="1207"/>
      <c r="K62" s="1207"/>
      <c r="L62" s="1207"/>
      <c r="M62" s="1207"/>
      <c r="N62" s="1207"/>
      <c r="O62" s="1207"/>
      <c r="P62" s="1207"/>
      <c r="Q62" s="1207"/>
      <c r="R62" s="1207"/>
      <c r="S62" s="1207"/>
      <c r="T62" s="1207"/>
      <c r="U62" s="1207"/>
      <c r="V62" s="1207"/>
      <c r="W62" s="1207"/>
      <c r="X62" s="1207"/>
      <c r="Y62" s="1207"/>
      <c r="Z62" s="1207"/>
      <c r="AA62" s="1207"/>
      <c r="AB62" s="1207"/>
      <c r="AC62" s="1207"/>
      <c r="AD62" s="1207"/>
    </row>
    <row r="63" spans="1:30">
      <c r="A63" s="1254"/>
      <c r="B63" s="1252"/>
      <c r="C63" s="1207"/>
      <c r="D63" s="1207"/>
      <c r="E63" s="1207"/>
      <c r="F63" s="1207"/>
      <c r="G63" s="1207"/>
      <c r="H63" s="1207"/>
      <c r="I63" s="1207"/>
      <c r="J63" s="1207"/>
      <c r="K63" s="1207"/>
      <c r="L63" s="1207"/>
      <c r="M63" s="1207"/>
      <c r="N63" s="1207"/>
      <c r="O63" s="1207"/>
      <c r="P63" s="1207"/>
      <c r="Q63" s="1207"/>
      <c r="R63" s="1207"/>
      <c r="S63" s="1207"/>
      <c r="T63" s="1207"/>
      <c r="U63" s="1207"/>
      <c r="V63" s="1207"/>
      <c r="W63" s="1207"/>
      <c r="X63" s="1207"/>
      <c r="Y63" s="1207"/>
      <c r="Z63" s="1207"/>
      <c r="AA63" s="1207"/>
      <c r="AB63" s="1207"/>
      <c r="AC63" s="1207"/>
      <c r="AD63" s="1207"/>
    </row>
    <row r="64" spans="1:30">
      <c r="A64" s="1254"/>
      <c r="B64" s="1252"/>
      <c r="C64" s="1207"/>
      <c r="D64" s="1207"/>
      <c r="E64" s="1207"/>
      <c r="F64" s="1207"/>
      <c r="G64" s="1207"/>
      <c r="H64" s="1207"/>
      <c r="I64" s="1207"/>
      <c r="J64" s="1207"/>
      <c r="K64" s="1207"/>
      <c r="L64" s="1207"/>
      <c r="M64" s="1207"/>
      <c r="N64" s="1207"/>
      <c r="O64" s="1207"/>
      <c r="P64" s="1207"/>
      <c r="Q64" s="1207"/>
      <c r="R64" s="1207"/>
      <c r="S64" s="1207"/>
      <c r="T64" s="1207"/>
      <c r="U64" s="1207"/>
      <c r="V64" s="1207"/>
      <c r="W64" s="1207"/>
      <c r="X64" s="1207"/>
      <c r="Y64" s="1207"/>
      <c r="Z64" s="1207"/>
      <c r="AA64" s="1207"/>
      <c r="AB64" s="1207"/>
      <c r="AC64" s="1207"/>
      <c r="AD64" s="1207"/>
    </row>
    <row r="65" spans="1:30">
      <c r="A65" s="1254"/>
      <c r="B65" s="1252"/>
      <c r="C65" s="1207"/>
      <c r="D65" s="1207"/>
      <c r="E65" s="1207"/>
      <c r="F65" s="1207"/>
      <c r="G65" s="1207"/>
      <c r="H65" s="1207"/>
      <c r="I65" s="1207"/>
      <c r="J65" s="1207"/>
      <c r="K65" s="1207"/>
      <c r="L65" s="1207"/>
      <c r="M65" s="1207"/>
      <c r="N65" s="1207"/>
      <c r="O65" s="1207"/>
      <c r="P65" s="1207"/>
      <c r="Q65" s="1207"/>
      <c r="R65" s="1207"/>
      <c r="S65" s="1207"/>
      <c r="T65" s="1207"/>
      <c r="U65" s="1207"/>
      <c r="V65" s="1207"/>
      <c r="W65" s="1207"/>
      <c r="X65" s="1207"/>
      <c r="Y65" s="1207"/>
      <c r="Z65" s="1207"/>
      <c r="AA65" s="1207"/>
      <c r="AB65" s="1207"/>
      <c r="AC65" s="1207"/>
      <c r="AD65" s="1207"/>
    </row>
    <row r="66" spans="1:30">
      <c r="A66" s="1207"/>
      <c r="B66" s="1207"/>
      <c r="C66" s="1207"/>
      <c r="D66" s="1207"/>
      <c r="E66" s="1207"/>
      <c r="F66" s="1207"/>
      <c r="G66" s="1207"/>
      <c r="H66" s="1207"/>
      <c r="I66" s="1207"/>
      <c r="J66" s="1207"/>
      <c r="K66" s="1207"/>
      <c r="L66" s="1207"/>
      <c r="M66" s="1207"/>
      <c r="N66" s="1207"/>
      <c r="O66" s="1207"/>
      <c r="P66" s="1207"/>
      <c r="Q66" s="1207"/>
      <c r="R66" s="1207"/>
      <c r="S66" s="1207"/>
      <c r="T66" s="1207"/>
      <c r="U66" s="1207"/>
      <c r="V66" s="1207"/>
      <c r="W66" s="1207"/>
      <c r="X66" s="1207"/>
      <c r="Y66" s="1207"/>
      <c r="Z66" s="1207"/>
      <c r="AA66" s="1207"/>
      <c r="AB66" s="1207"/>
      <c r="AC66" s="1207"/>
      <c r="AD66" s="1207"/>
    </row>
    <row r="67" spans="1:30">
      <c r="A67" s="1207"/>
      <c r="B67" s="1207"/>
      <c r="C67" s="1207"/>
      <c r="D67" s="1207"/>
      <c r="E67" s="1207"/>
      <c r="F67" s="1207"/>
      <c r="G67" s="1207"/>
      <c r="H67" s="1207"/>
      <c r="I67" s="1207"/>
      <c r="J67" s="1207"/>
      <c r="K67" s="1207"/>
      <c r="L67" s="1207"/>
      <c r="M67" s="1207"/>
      <c r="N67" s="1207"/>
      <c r="O67" s="1207"/>
      <c r="P67" s="1207"/>
      <c r="Q67" s="1207"/>
      <c r="R67" s="1207"/>
      <c r="S67" s="1207"/>
      <c r="T67" s="1207"/>
      <c r="U67" s="1207"/>
      <c r="V67" s="1207"/>
      <c r="W67" s="1207"/>
      <c r="X67" s="1207"/>
      <c r="Y67" s="1207"/>
      <c r="Z67" s="1207"/>
      <c r="AA67" s="1207"/>
      <c r="AB67" s="1207"/>
      <c r="AC67" s="1207"/>
      <c r="AD67" s="1207"/>
    </row>
    <row r="68" spans="1:30">
      <c r="A68" s="1207"/>
      <c r="B68" s="1207"/>
      <c r="C68" s="1207"/>
      <c r="D68" s="1207"/>
      <c r="E68" s="1207"/>
      <c r="F68" s="1207"/>
      <c r="G68" s="1207"/>
      <c r="H68" s="1207"/>
      <c r="I68" s="1207"/>
      <c r="J68" s="1207"/>
      <c r="K68" s="1207"/>
      <c r="L68" s="1207"/>
      <c r="M68" s="1207"/>
      <c r="N68" s="1207"/>
      <c r="O68" s="1207"/>
      <c r="P68" s="1207"/>
      <c r="Q68" s="1207"/>
      <c r="R68" s="1207"/>
      <c r="S68" s="1207"/>
      <c r="T68" s="1207"/>
      <c r="U68" s="1207"/>
      <c r="V68" s="1207"/>
      <c r="W68" s="1207"/>
      <c r="X68" s="1207"/>
      <c r="Y68" s="1207"/>
      <c r="Z68" s="1207"/>
      <c r="AA68" s="1207"/>
      <c r="AB68" s="1207"/>
      <c r="AC68" s="1207"/>
      <c r="AD68" s="1207"/>
    </row>
    <row r="69" spans="1:30">
      <c r="A69" s="1207"/>
      <c r="B69" s="1207"/>
      <c r="C69" s="1207"/>
      <c r="D69" s="1207"/>
      <c r="E69" s="1207"/>
      <c r="F69" s="1207"/>
      <c r="G69" s="1207"/>
      <c r="H69" s="1207"/>
      <c r="I69" s="1207"/>
      <c r="J69" s="1207"/>
      <c r="K69" s="1207"/>
      <c r="L69" s="1207"/>
      <c r="M69" s="1207"/>
      <c r="N69" s="1207"/>
      <c r="O69" s="1207"/>
      <c r="P69" s="1207"/>
      <c r="Q69" s="1207"/>
      <c r="R69" s="1207"/>
      <c r="S69" s="1207"/>
      <c r="T69" s="1207"/>
      <c r="U69" s="1207"/>
      <c r="V69" s="1207"/>
      <c r="W69" s="1207"/>
      <c r="X69" s="1207"/>
      <c r="Y69" s="1207"/>
      <c r="Z69" s="1207"/>
      <c r="AA69" s="1207"/>
      <c r="AB69" s="1207"/>
      <c r="AC69" s="1207"/>
      <c r="AD69" s="1207"/>
    </row>
  </sheetData>
  <mergeCells count="8">
    <mergeCell ref="AB3:AC3"/>
    <mergeCell ref="A1:B1"/>
    <mergeCell ref="C1:Z1"/>
    <mergeCell ref="A2:B2"/>
    <mergeCell ref="C2:Z2"/>
    <mergeCell ref="A3:A4"/>
    <mergeCell ref="C3:F3"/>
    <mergeCell ref="H3:K3"/>
  </mergeCells>
  <conditionalFormatting sqref="AC5:AC28">
    <cfRule type="cellIs" dxfId="3" priority="5" operator="greaterThan">
      <formula>0</formula>
    </cfRule>
  </conditionalFormatting>
  <conditionalFormatting sqref="AA5:AA28 AA29">
    <cfRule type="cellIs" dxfId="2" priority="3" operator="lessThan">
      <formula>3</formula>
    </cfRule>
  </conditionalFormatting>
  <conditionalFormatting sqref="C5:Z28">
    <cfRule type="cellIs" dxfId="1" priority="2" operator="equal">
      <formula>"Н"</formula>
    </cfRule>
  </conditionalFormatting>
  <conditionalFormatting sqref="C5:Z28">
    <cfRule type="cellIs" dxfId="0" priority="1" operator="equal">
      <formula>"н/у"</formula>
    </cfRule>
  </conditionalFormatting>
  <pageMargins left="0.70078740157480324" right="0.70078740157480324" top="0.75196850393700787" bottom="0.75196850393700787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5"/>
  <sheetViews>
    <sheetView workbookViewId="0">
      <selection activeCell="C19" sqref="C19"/>
    </sheetView>
  </sheetViews>
  <sheetFormatPr defaultColWidth="13.44140625" defaultRowHeight="14.25" customHeight="1"/>
  <cols>
    <col min="1" max="1" width="3.21875" customWidth="1"/>
    <col min="2" max="2" width="34.21875" customWidth="1"/>
  </cols>
  <sheetData>
    <row r="1" spans="1:4" ht="15.75">
      <c r="A1" s="1255" t="s">
        <v>44</v>
      </c>
      <c r="B1" s="1137" t="s">
        <v>45</v>
      </c>
      <c r="C1" s="1256">
        <f>IF(20&lt;=Табели!E28,Табели!E28,"")</f>
        <v>146</v>
      </c>
      <c r="D1" s="1257" t="str">
        <f>IF(3&gt;=Табели!D26,Табели!D26,"")</f>
        <v/>
      </c>
    </row>
    <row r="2" spans="1:4" ht="15.75">
      <c r="A2" s="1255" t="s">
        <v>49</v>
      </c>
      <c r="B2" s="1258" t="s">
        <v>50</v>
      </c>
      <c r="C2" s="1256" t="str">
        <f>IF(20&lt;=Табели!E56,Табели!E56,"")</f>
        <v/>
      </c>
      <c r="D2" s="1257" t="str">
        <f>IF(3&gt;=Табели!D54,Табели!D54,"")</f>
        <v/>
      </c>
    </row>
    <row r="3" spans="1:4" ht="16.5" customHeight="1">
      <c r="A3" s="1255" t="s">
        <v>51</v>
      </c>
      <c r="B3" s="1137" t="s">
        <v>52</v>
      </c>
      <c r="C3" s="1256" t="str">
        <f>IF(20&lt;=Табели!E84,Табели!E84,"")</f>
        <v/>
      </c>
      <c r="D3" s="1257" t="str">
        <f>IF(3&gt;=Табели!D82,Табели!D82,"")</f>
        <v/>
      </c>
    </row>
    <row r="4" spans="1:4" ht="15.75">
      <c r="A4" s="1255" t="s">
        <v>53</v>
      </c>
      <c r="B4" s="1137" t="s">
        <v>54</v>
      </c>
      <c r="C4" s="1256">
        <f>IF(20&lt;=Табели!E112,Табели!E112,"")</f>
        <v>55</v>
      </c>
      <c r="D4" s="1257" t="str">
        <f>IF(3&gt;=Табели!D110,Табели!D110,"")</f>
        <v/>
      </c>
    </row>
    <row r="5" spans="1:4" ht="15.75">
      <c r="A5" s="1255" t="s">
        <v>55</v>
      </c>
      <c r="B5" s="1137" t="s">
        <v>56</v>
      </c>
      <c r="C5" s="1256">
        <f>IF(20&lt;=Табели!E164,Табели!E164,"")</f>
        <v>28</v>
      </c>
      <c r="D5" s="1257" t="str">
        <f>IF(3&gt;=Табели!D162,Табели!D162,"")</f>
        <v/>
      </c>
    </row>
    <row r="6" spans="1:4" ht="15.75">
      <c r="A6" s="1255" t="s">
        <v>57</v>
      </c>
      <c r="B6" s="1137" t="s">
        <v>58</v>
      </c>
      <c r="C6" s="1256" t="str">
        <f>IF(20&lt;=Табели!E192,Табели!E192,"")</f>
        <v/>
      </c>
      <c r="D6" s="1257" t="str">
        <f>IF(3&gt;=Табели!D190,Табели!D190,"")</f>
        <v/>
      </c>
    </row>
    <row r="7" spans="1:4" ht="16.5" customHeight="1">
      <c r="A7" s="1255" t="s">
        <v>59</v>
      </c>
      <c r="B7" s="1137" t="s">
        <v>60</v>
      </c>
      <c r="C7" s="1256">
        <f>IF(20&lt;=Табели!E220,Табели!E220,"")</f>
        <v>41</v>
      </c>
      <c r="D7" s="1257" t="str">
        <f>IF(3&gt;=Табели!D218,Табели!D218,"")</f>
        <v/>
      </c>
    </row>
    <row r="8" spans="1:4" ht="15.75">
      <c r="A8" s="1255" t="s">
        <v>61</v>
      </c>
      <c r="B8" s="1137" t="s">
        <v>62</v>
      </c>
      <c r="C8" s="1256">
        <f>IF(20&lt;=Табели!E248,Табели!E248,"")</f>
        <v>31</v>
      </c>
      <c r="D8" s="1257" t="str">
        <f>IF(3&gt;=Табели!D246,Табели!D246,"")</f>
        <v/>
      </c>
    </row>
    <row r="9" spans="1:4" ht="16.5" customHeight="1">
      <c r="A9" s="1255" t="s">
        <v>63</v>
      </c>
      <c r="B9" s="1137" t="s">
        <v>64</v>
      </c>
      <c r="C9" s="1256">
        <f>IF(20&lt;=Табели!E276,Табели!E276,"")</f>
        <v>125</v>
      </c>
      <c r="D9" s="1257">
        <f>IF(3&gt;=Табели!D274,Табели!D274,"")</f>
        <v>2.717989417989418</v>
      </c>
    </row>
    <row r="10" spans="1:4" ht="15.75">
      <c r="A10" s="1255" t="s">
        <v>65</v>
      </c>
      <c r="B10" s="1137" t="s">
        <v>66</v>
      </c>
      <c r="C10" s="1256">
        <f>IF(20&lt;=Табели!E304,Табели!E304,"")</f>
        <v>34</v>
      </c>
      <c r="D10" s="1257" t="str">
        <f>IF(3&gt;=Табели!D302,Табели!D302,"")</f>
        <v/>
      </c>
    </row>
    <row r="11" spans="1:4" ht="15.75">
      <c r="A11" s="1255" t="s">
        <v>67</v>
      </c>
      <c r="B11" s="1137" t="s">
        <v>68</v>
      </c>
      <c r="C11" s="1256" t="str">
        <f>IF(20&lt;=Табели!E332,Табели!E332,"")</f>
        <v/>
      </c>
      <c r="D11" s="1257" t="str">
        <f>IF(3&gt;=Табели!D330,Табели!D330,"")</f>
        <v/>
      </c>
    </row>
    <row r="12" spans="1:4" ht="15.75">
      <c r="A12" s="1255" t="s">
        <v>71</v>
      </c>
      <c r="B12" s="1137" t="s">
        <v>70</v>
      </c>
      <c r="C12" s="1256">
        <f>IF(20&lt;=Табели!E360,Табели!E360,"")</f>
        <v>41</v>
      </c>
      <c r="D12" s="1257" t="str">
        <f>IF(3&gt;=Табели!D358,Табели!D358,"")</f>
        <v/>
      </c>
    </row>
    <row r="13" spans="1:4" ht="15.75">
      <c r="A13" s="1255" t="s">
        <v>69</v>
      </c>
      <c r="B13" s="1137" t="s">
        <v>72</v>
      </c>
      <c r="C13" s="1256">
        <f>IF(20&lt;=Табели!E388,Табели!E388,"")</f>
        <v>122</v>
      </c>
      <c r="D13" s="1257" t="str">
        <f>IF(3&gt;=Табели!D386,Табели!D386,"")</f>
        <v/>
      </c>
    </row>
    <row r="14" spans="1:4" ht="15.75">
      <c r="A14" s="1255" t="s">
        <v>73</v>
      </c>
      <c r="B14" s="1137" t="s">
        <v>74</v>
      </c>
      <c r="C14" s="1256">
        <f>IF(20&lt;=Табели!E416,Табели!E416,"")</f>
        <v>45</v>
      </c>
      <c r="D14" s="1257" t="str">
        <f>IF(3&gt;=Табели!D414,Табели!D414,"")</f>
        <v/>
      </c>
    </row>
    <row r="15" spans="1:4" ht="15.75">
      <c r="A15" s="1255" t="s">
        <v>75</v>
      </c>
      <c r="B15" s="1137" t="s">
        <v>76</v>
      </c>
      <c r="C15" s="1256" t="str">
        <f>IF(20&lt;=Табели!E444,Табели!E444,"")</f>
        <v/>
      </c>
      <c r="D15" s="1257" t="str">
        <f>IF(3&gt;=Табели!D442,Табели!D442,"")</f>
        <v/>
      </c>
    </row>
    <row r="16" spans="1:4" ht="15.75">
      <c r="A16" s="1255" t="s">
        <v>77</v>
      </c>
      <c r="B16" s="1137" t="s">
        <v>78</v>
      </c>
      <c r="C16" s="1256">
        <f>IF(20&lt;=Табели!E472,Табели!E472,"")</f>
        <v>35</v>
      </c>
      <c r="D16" s="1257" t="str">
        <f>IF(3&gt;=Табели!D470,Табели!D470,"")</f>
        <v/>
      </c>
    </row>
    <row r="17" spans="1:4" ht="15.75">
      <c r="A17" s="1255" t="s">
        <v>79</v>
      </c>
      <c r="B17" s="1137" t="s">
        <v>80</v>
      </c>
      <c r="C17" s="1256">
        <f>IF(20&lt;=Табели!E500,Табели!E500,"")</f>
        <v>40</v>
      </c>
      <c r="D17" s="1257" t="str">
        <f>IF(3&gt;=Табели!D498,Табели!D498,"")</f>
        <v/>
      </c>
    </row>
    <row r="18" spans="1:4" ht="15.75">
      <c r="A18" s="1255" t="s">
        <v>81</v>
      </c>
      <c r="B18" s="1137" t="s">
        <v>82</v>
      </c>
      <c r="C18" s="1256">
        <f>IF(20&lt;=Табели!E528,Табели!E528,"")</f>
        <v>36</v>
      </c>
      <c r="D18" s="1257" t="str">
        <f>IF(3&gt;=Табели!D526,Табели!D526,"")</f>
        <v/>
      </c>
    </row>
    <row r="19" spans="1:4" ht="15.75">
      <c r="A19" s="1255" t="s">
        <v>83</v>
      </c>
      <c r="B19" s="1137" t="s">
        <v>84</v>
      </c>
      <c r="C19" s="1256">
        <f>IF(20&lt;=Табели!E556,Табели!E556,"")</f>
        <v>141</v>
      </c>
      <c r="D19" s="1257" t="str">
        <f>IF(3&gt;=Табели!D554,Табели!D554,"")</f>
        <v/>
      </c>
    </row>
    <row r="20" spans="1:4" ht="15.75">
      <c r="A20" s="1255" t="s">
        <v>27</v>
      </c>
      <c r="B20" s="1137" t="s">
        <v>85</v>
      </c>
      <c r="C20" s="1256" t="str">
        <f>IF(20&lt;=Табели!E584,Табели!E584,"")</f>
        <v/>
      </c>
      <c r="D20" s="1257" t="str">
        <f>IF(3&gt;=Табели!D582,Табели!D582,"")</f>
        <v/>
      </c>
    </row>
    <row r="21" spans="1:4" ht="15.75">
      <c r="A21" s="1255" t="s">
        <v>86</v>
      </c>
      <c r="B21" s="1137" t="s">
        <v>87</v>
      </c>
      <c r="C21" s="1256">
        <f>IF(20&lt;=Табели!E612,Табели!E612,"")</f>
        <v>181</v>
      </c>
      <c r="D21" s="1257" t="str">
        <f>IF(3&gt;=Табели!D610,Табели!D610,"")</f>
        <v/>
      </c>
    </row>
    <row r="22" spans="1:4" ht="15.75">
      <c r="A22" s="1255" t="s">
        <v>89</v>
      </c>
      <c r="B22" s="1137" t="s">
        <v>88</v>
      </c>
      <c r="C22" s="1256" t="str">
        <f>IF(20&lt;=Табели!E639,Табели!E639,"")</f>
        <v/>
      </c>
      <c r="D22" s="1257" t="str">
        <f>IF(3&gt;=Табели!D637,Табели!D637,"")</f>
        <v/>
      </c>
    </row>
    <row r="23" spans="1:4" ht="15.75">
      <c r="A23" s="1255" t="s">
        <v>91</v>
      </c>
      <c r="B23" s="1137" t="s">
        <v>90</v>
      </c>
      <c r="C23" s="1256">
        <f>IF(20&lt;=Табели!E667,Табели!E667,"")</f>
        <v>57</v>
      </c>
      <c r="D23" s="1257" t="str">
        <f>IF(3&gt;=Табели!D665,Табели!D665,"")</f>
        <v/>
      </c>
    </row>
    <row r="24" spans="1:4" ht="15.75">
      <c r="A24" s="1255" t="s">
        <v>302</v>
      </c>
      <c r="B24" s="1137" t="s">
        <v>92</v>
      </c>
      <c r="C24" s="1256">
        <f>IF(20&lt;=Табели!E695,Табели!E695,"")</f>
        <v>68</v>
      </c>
      <c r="D24" s="1257" t="str">
        <f>IF(3&gt;=Табели!D693,Табели!D693,"")</f>
        <v/>
      </c>
    </row>
    <row r="25" spans="1:4" ht="15">
      <c r="C25" s="1259" t="s">
        <v>653</v>
      </c>
      <c r="D25" s="1259" t="s">
        <v>654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Табели</vt:lpstr>
      <vt:lpstr>История</vt:lpstr>
      <vt:lpstr>Ин.яз</vt:lpstr>
      <vt:lpstr>ПиРИП</vt:lpstr>
      <vt:lpstr>Физ.ра</vt:lpstr>
      <vt:lpstr>Элемент выш мат</vt:lpstr>
      <vt:lpstr>арх.ап.средств</vt:lpstr>
      <vt:lpstr>Опер.систем-среды</vt:lpstr>
      <vt:lpstr>Основы алгоритмизации</vt:lpstr>
      <vt:lpstr>Осн.пр.Базы данных</vt:lpstr>
      <vt:lpstr>Числ метод</vt:lpstr>
      <vt:lpstr>Комп сеть</vt:lpstr>
      <vt:lpstr>Теор.вероят и мат.стат</vt:lpstr>
      <vt:lpstr>Дискрет.мат </vt:lpstr>
      <vt:lpstr>Внедр.подд.комп.систем</vt:lpstr>
      <vt:lpstr>Разработка кода ИС</vt:lpstr>
      <vt:lpstr>Псих.общ</vt:lpstr>
      <vt:lpstr>Тех.разра.БД</vt:lpstr>
      <vt:lpstr>Проектирование и дизайн ИС</vt:lpstr>
      <vt:lpstr>Осн.фин.грам.и предприн.</vt:lpstr>
      <vt:lpstr>БЖ</vt:lpstr>
      <vt:lpstr>Обе.без.веб-прил.</vt:lpstr>
      <vt:lpstr>Оптими.веб-прил.</vt:lpstr>
      <vt:lpstr>Тестирование ИС</vt:lpstr>
      <vt:lpstr>Граф диз и мульт</vt:lpstr>
      <vt:lpstr>Проект. и разр. веб-прил. </vt:lpstr>
      <vt:lpstr>Н-ки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Sabiryanova Regina Fanzilovna</dc:creator>
  <cp:keywords/>
  <dc:description/>
  <cp:lastModifiedBy>Sabiryanova Regina Fanzilovna</cp:lastModifiedBy>
  <cp:revision>660</cp:revision>
  <dcterms:created xsi:type="dcterms:W3CDTF">2023-05-15T13:37:41Z</dcterms:created>
  <dcterms:modified xsi:type="dcterms:W3CDTF">2026-04-08T11:47:35Z</dcterms:modified>
  <cp:category/>
</cp:coreProperties>
</file>